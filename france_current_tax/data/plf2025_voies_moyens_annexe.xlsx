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psavenay-adc\Downloads\"/>
    </mc:Choice>
  </mc:AlternateContent>
  <xr:revisionPtr revIDLastSave="0" documentId="13_ncr:1_{9DF46A9E-0BAE-446B-AD76-54766CC25385}" xr6:coauthVersionLast="47" xr6:coauthVersionMax="47" xr10:uidLastSave="{00000000-0000-0000-0000-000000000000}"/>
  <bookViews>
    <workbookView xWindow="-120" yWindow="-120" windowWidth="29040" windowHeight="15720" activeTab="1" xr2:uid="{00000000-000D-0000-FFFF-FFFF00000000}"/>
  </bookViews>
  <sheets>
    <sheet name="Synthèse &gt;&gt;&gt;" sheetId="2" r:id="rId1"/>
    <sheet name="Recettes" sheetId="5" r:id="rId2"/>
    <sheet name="MN au présent PLF" sheetId="4" r:id="rId3"/>
    <sheet name="MP et MT" sheetId="3" r:id="rId4"/>
    <sheet name="Détails &gt;&gt;&gt;" sheetId="13" r:id="rId5"/>
    <sheet name="RNF" sheetId="14" r:id="rId6"/>
    <sheet name="RFN" sheetId="7" r:id="rId7"/>
    <sheet name="R&amp;D" sheetId="6" r:id="rId8"/>
    <sheet name="MN, MT et MP" sheetId="15" r:id="rId9"/>
    <sheet name="Art. 25 LO 2021-1836" sheetId="16" r:id="rId10"/>
  </sheets>
  <definedNames>
    <definedName name="___EZ2" localSheetId="5" hidden="1">{#N/A,#N/A,TRUE,"Page de garde";#N/A,#N/A,TRUE,"Récap";#N/A,#N/A,TRUE,"2001";#N/A,#N/A,TRUE,"2002";#N/A,#N/A,TRUE,"MN";#N/A,#N/A,TRUE,"CB-CN ";#N/A,#N/A,TRUE,"Point TVA (avec ES)"}</definedName>
    <definedName name="___EZ2" hidden="1">{#N/A,#N/A,TRUE,"Page de garde";#N/A,#N/A,TRUE,"Récap";#N/A,#N/A,TRUE,"2001";#N/A,#N/A,TRUE,"2002";#N/A,#N/A,TRUE,"MN";#N/A,#N/A,TRUE,"CB-CN ";#N/A,#N/A,TRUE,"Point TVA (avec ES)"}</definedName>
    <definedName name="__EZ2" localSheetId="5" hidden="1">{#N/A,#N/A,TRUE,"Page de garde";#N/A,#N/A,TRUE,"Récap";#N/A,#N/A,TRUE,"2001";#N/A,#N/A,TRUE,"2002";#N/A,#N/A,TRUE,"MN";#N/A,#N/A,TRUE,"CB-CN ";#N/A,#N/A,TRUE,"Point TVA (avec ES)"}</definedName>
    <definedName name="__EZ2" hidden="1">{#N/A,#N/A,TRUE,"Page de garde";#N/A,#N/A,TRUE,"Récap";#N/A,#N/A,TRUE,"2001";#N/A,#N/A,TRUE,"2002";#N/A,#N/A,TRUE,"MN";#N/A,#N/A,TRUE,"CB-CN ";#N/A,#N/A,TRUE,"Point TVA (avec ES)"}</definedName>
    <definedName name="_EZ2" localSheetId="5" hidden="1">{#N/A,#N/A,TRUE,"Page de garde";#N/A,#N/A,TRUE,"Récap";#N/A,#N/A,TRUE,"2001";#N/A,#N/A,TRUE,"2002";#N/A,#N/A,TRUE,"MN";#N/A,#N/A,TRUE,"CB-CN ";#N/A,#N/A,TRUE,"Point TVA (avec ES)"}</definedName>
    <definedName name="_EZ2" hidden="1">{#N/A,#N/A,TRUE,"Page de garde";#N/A,#N/A,TRUE,"Récap";#N/A,#N/A,TRUE,"2001";#N/A,#N/A,TRUE,"2002";#N/A,#N/A,TRUE,"MN";#N/A,#N/A,TRUE,"CB-CN ";#N/A,#N/A,TRUE,"Point TVA (avec ES)"}</definedName>
    <definedName name="_xlnm._FilterDatabase" localSheetId="8" hidden="1">'MN, MT et MP'!$A$145:$J$145</definedName>
    <definedName name="BaseMNComp" localSheetId="4">#REF!</definedName>
    <definedName name="BaseMNComp" localSheetId="8">#REF!</definedName>
    <definedName name="BaseMNComp" localSheetId="5">#REF!</definedName>
    <definedName name="BaseMNComp">#REF!</definedName>
    <definedName name="beu" localSheetId="5" hidden="1">{#N/A,#N/A,TRUE,"Page de garde";#N/A,#N/A,TRUE,"Récap";#N/A,#N/A,TRUE,"2001";#N/A,#N/A,TRUE,"2002";#N/A,#N/A,TRUE,"MN";#N/A,#N/A,TRUE,"CB-CN ";#N/A,#N/A,TRUE,"Point TVA (avec ES)"}</definedName>
    <definedName name="beu" hidden="1">{#N/A,#N/A,TRUE,"Page de garde";#N/A,#N/A,TRUE,"Récap";#N/A,#N/A,TRUE,"2001";#N/A,#N/A,TRUE,"2002";#N/A,#N/A,TRUE,"MN";#N/A,#N/A,TRUE,"CB-CN ";#N/A,#N/A,TRUE,"Point TVA (avec ES)"}</definedName>
    <definedName name="buiohno" localSheetId="5" hidden="1">{#N/A,#N/A,FALSE,"Synthèse";#N/A,#N/A,FALSE,"Evolution de la TVA";#N/A,#N/A,FALSE,"Ventilation DGI-Douanes";#N/A,#N/A,FALSE,"prévision hors constaté ";#N/A,#N/A,FALSE,"recettes et écart à la prévisio"}</definedName>
    <definedName name="buiohno" hidden="1">{#N/A,#N/A,FALSE,"Synthèse";#N/A,#N/A,FALSE,"Evolution de la TVA";#N/A,#N/A,FALSE,"Ventilation DGI-Douanes";#N/A,#N/A,FALSE,"prévision hors constaté ";#N/A,#N/A,FALSE,"recettes et écart à la prévisio"}</definedName>
    <definedName name="COPIE" localSheetId="5" hidden="1">{#N/A,#N/A,TRUE,"Page de garde";#N/A,#N/A,TRUE,"Récap";#N/A,#N/A,TRUE,"2001";#N/A,#N/A,TRUE,"2002";#N/A,#N/A,TRUE,"MN";#N/A,#N/A,TRUE,"CB-CN ";#N/A,#N/A,TRUE,"Point TVA (avec ES)"}</definedName>
    <definedName name="COPIE" hidden="1">{#N/A,#N/A,TRUE,"Page de garde";#N/A,#N/A,TRUE,"Récap";#N/A,#N/A,TRUE,"2001";#N/A,#N/A,TRUE,"2002";#N/A,#N/A,TRUE,"MN";#N/A,#N/A,TRUE,"CB-CN ";#N/A,#N/A,TRUE,"Point TVA (avec ES)"}</definedName>
    <definedName name="d" localSheetId="5" hidden="1">{#N/A,#N/A,TRUE,"Page de garde";#N/A,#N/A,TRUE,"Récap";#N/A,#N/A,TRUE,"2001";#N/A,#N/A,TRUE,"2002";#N/A,#N/A,TRUE,"MN";#N/A,#N/A,TRUE,"CB-CN ";#N/A,#N/A,TRUE,"Point TVA (avec ES)"}</definedName>
    <definedName name="d" hidden="1">{#N/A,#N/A,TRUE,"Page de garde";#N/A,#N/A,TRUE,"Récap";#N/A,#N/A,TRUE,"2001";#N/A,#N/A,TRUE,"2002";#N/A,#N/A,TRUE,"MN";#N/A,#N/A,TRUE,"CB-CN ";#N/A,#N/A,TRUE,"Point TVA (avec ES)"}</definedName>
    <definedName name="database" localSheetId="4">#REF!</definedName>
    <definedName name="database" localSheetId="8">#REF!</definedName>
    <definedName name="database" localSheetId="5">#REF!</definedName>
    <definedName name="database">#REF!</definedName>
    <definedName name="E2FUT" localSheetId="5" hidden="1">{#N/A,#N/A,FALSE,"couv";#N/A,#N/A,FALSE,"A1";#N/A,#N/A,FALSE,"B1";#N/A,#N/A,FALSE,"B2";#N/A,#N/A,FALSE,"C1";#N/A,#N/A,FALSE,"C3";#N/A,#N/A,FALSE,"C4";#N/A,#N/A,FALSE,"D1";#N/A,#N/A,FALSE,"D2";#N/A,#N/A,FALSE,"D3";#N/A,#N/A,FALSE,"E";#N/A,#N/A,FALSE,"E1A";#N/A,#N/A,FALSE,"E1B";#N/A,#N/A,FALSE,"E2";#N/A,#N/A,FALSE,"E3A ";#N/A,#N/A,FALSE,"E3B";#N/A,#N/A,FALSE,"E4";#N/A,#N/A,FALSE,"F1"}</definedName>
    <definedName name="E2FUT" hidden="1">{#N/A,#N/A,FALSE,"couv";#N/A,#N/A,FALSE,"A1";#N/A,#N/A,FALSE,"B1";#N/A,#N/A,FALSE,"B2";#N/A,#N/A,FALSE,"C1";#N/A,#N/A,FALSE,"C3";#N/A,#N/A,FALSE,"C4";#N/A,#N/A,FALSE,"D1";#N/A,#N/A,FALSE,"D2";#N/A,#N/A,FALSE,"D3";#N/A,#N/A,FALSE,"E";#N/A,#N/A,FALSE,"E1A";#N/A,#N/A,FALSE,"E1B";#N/A,#N/A,FALSE,"E2";#N/A,#N/A,FALSE,"E3A ";#N/A,#N/A,FALSE,"E3B";#N/A,#N/A,FALSE,"E4";#N/A,#N/A,FALSE,"F1"}</definedName>
    <definedName name="E3FUT" localSheetId="5" hidden="1">{#N/A,#N/A,FALSE,"couv";#N/A,#N/A,FALSE,"A1";#N/A,#N/A,FALSE,"B1";#N/A,#N/A,FALSE,"B2";#N/A,#N/A,FALSE,"C1";#N/A,#N/A,FALSE,"C3";#N/A,#N/A,FALSE,"C4";#N/A,#N/A,FALSE,"D1";#N/A,#N/A,FALSE,"D2";#N/A,#N/A,FALSE,"D3";#N/A,#N/A,FALSE,"E";#N/A,#N/A,FALSE,"E1A";#N/A,#N/A,FALSE,"E1B";#N/A,#N/A,FALSE,"E2";#N/A,#N/A,FALSE,"E3A ";#N/A,#N/A,FALSE,"E3B";#N/A,#N/A,FALSE,"E4";#N/A,#N/A,FALSE,"F1"}</definedName>
    <definedName name="E3FUT" hidden="1">{#N/A,#N/A,FALSE,"couv";#N/A,#N/A,FALSE,"A1";#N/A,#N/A,FALSE,"B1";#N/A,#N/A,FALSE,"B2";#N/A,#N/A,FALSE,"C1";#N/A,#N/A,FALSE,"C3";#N/A,#N/A,FALSE,"C4";#N/A,#N/A,FALSE,"D1";#N/A,#N/A,FALSE,"D2";#N/A,#N/A,FALSE,"D3";#N/A,#N/A,FALSE,"E";#N/A,#N/A,FALSE,"E1A";#N/A,#N/A,FALSE,"E1B";#N/A,#N/A,FALSE,"E2";#N/A,#N/A,FALSE,"E3A ";#N/A,#N/A,FALSE,"E3B";#N/A,#N/A,FALSE,"E4";#N/A,#N/A,FALSE,"F1"}</definedName>
    <definedName name="efqsd" localSheetId="5" hidden="1">{#N/A,#N/A,TRUE,"Page de garde";#N/A,#N/A,TRUE,"Récap";#N/A,#N/A,TRUE,"2001";#N/A,#N/A,TRUE,"2002";#N/A,#N/A,TRUE,"MN";#N/A,#N/A,TRUE,"CB-CN ";#N/A,#N/A,TRUE,"Point TVA (avec ES)"}</definedName>
    <definedName name="efqsd" hidden="1">{#N/A,#N/A,TRUE,"Page de garde";#N/A,#N/A,TRUE,"Récap";#N/A,#N/A,TRUE,"2001";#N/A,#N/A,TRUE,"2002";#N/A,#N/A,TRUE,"MN";#N/A,#N/A,TRUE,"CB-CN ";#N/A,#N/A,TRUE,"Point TVA (avec ES)"}</definedName>
    <definedName name="EZ" localSheetId="5" hidden="1">{#N/A,#N/A,TRUE,"Page de garde";#N/A,#N/A,TRUE,"Récap";#N/A,#N/A,TRUE,"2001";#N/A,#N/A,TRUE,"2002";#N/A,#N/A,TRUE,"MN";#N/A,#N/A,TRUE,"CB-CN ";#N/A,#N/A,TRUE,"Point TVA (avec ES)"}</definedName>
    <definedName name="EZ" hidden="1">{#N/A,#N/A,TRUE,"Page de garde";#N/A,#N/A,TRUE,"Récap";#N/A,#N/A,TRUE,"2001";#N/A,#N/A,TRUE,"2002";#N/A,#N/A,TRUE,"MN";#N/A,#N/A,TRUE,"CB-CN ";#N/A,#N/A,TRUE,"Point TVA (avec ES)"}</definedName>
    <definedName name="fd" localSheetId="5" hidden="1">{#N/A,#N/A,FALSE,"couv";#N/A,#N/A,FALSE,"A1";#N/A,#N/A,FALSE,"B1";#N/A,#N/A,FALSE,"B2";#N/A,#N/A,FALSE,"C1";#N/A,#N/A,FALSE,"C3";#N/A,#N/A,FALSE,"C4";#N/A,#N/A,FALSE,"D1";#N/A,#N/A,FALSE,"D2";#N/A,#N/A,FALSE,"D3";#N/A,#N/A,FALSE,"E";#N/A,#N/A,FALSE,"E1A";#N/A,#N/A,FALSE,"E1B";#N/A,#N/A,FALSE,"E2";#N/A,#N/A,FALSE,"E3A ";#N/A,#N/A,FALSE,"E3B";#N/A,#N/A,FALSE,"E4";#N/A,#N/A,FALSE,"F1"}</definedName>
    <definedName name="fd" hidden="1">{#N/A,#N/A,FALSE,"couv";#N/A,#N/A,FALSE,"A1";#N/A,#N/A,FALSE,"B1";#N/A,#N/A,FALSE,"B2";#N/A,#N/A,FALSE,"C1";#N/A,#N/A,FALSE,"C3";#N/A,#N/A,FALSE,"C4";#N/A,#N/A,FALSE,"D1";#N/A,#N/A,FALSE,"D2";#N/A,#N/A,FALSE,"D3";#N/A,#N/A,FALSE,"E";#N/A,#N/A,FALSE,"E1A";#N/A,#N/A,FALSE,"E1B";#N/A,#N/A,FALSE,"E2";#N/A,#N/A,FALSE,"E3A ";#N/A,#N/A,FALSE,"E3B";#N/A,#N/A,FALSE,"E4";#N/A,#N/A,FALSE,"F1"}</definedName>
    <definedName name="ff" localSheetId="5" hidden="1">{#N/A,#N/A,TRUE,"Page de garde";#N/A,#N/A,TRUE,"Récap";#N/A,#N/A,TRUE,"2001";#N/A,#N/A,TRUE,"2002";#N/A,#N/A,TRUE,"MN";#N/A,#N/A,TRUE,"CB-CN ";#N/A,#N/A,TRUE,"Point TVA (avec ES)"}</definedName>
    <definedName name="ff" hidden="1">{#N/A,#N/A,TRUE,"Page de garde";#N/A,#N/A,TRUE,"Récap";#N/A,#N/A,TRUE,"2001";#N/A,#N/A,TRUE,"2002";#N/A,#N/A,TRUE,"MN";#N/A,#N/A,TRUE,"CB-CN ";#N/A,#N/A,TRUE,"Point TVA (avec ES)"}</definedName>
    <definedName name="fvr" localSheetId="5" hidden="1">{#N/A,#N/A,TRUE,"Page de garde";#N/A,#N/A,TRUE,"Récap";#N/A,#N/A,TRUE,"2001";#N/A,#N/A,TRUE,"2002";#N/A,#N/A,TRUE,"MN";#N/A,#N/A,TRUE,"CB-CN ";#N/A,#N/A,TRUE,"Point TVA (avec ES)"}</definedName>
    <definedName name="fvr" hidden="1">{#N/A,#N/A,TRUE,"Page de garde";#N/A,#N/A,TRUE,"Récap";#N/A,#N/A,TRUE,"2001";#N/A,#N/A,TRUE,"2002";#N/A,#N/A,TRUE,"MN";#N/A,#N/A,TRUE,"CB-CN ";#N/A,#N/A,TRUE,"Point TVA (avec ES)"}</definedName>
    <definedName name="gfq" localSheetId="5" hidden="1">{#N/A,#N/A,TRUE,"Page de garde";#N/A,#N/A,TRUE,"Récap";#N/A,#N/A,TRUE,"2001";#N/A,#N/A,TRUE,"2002";#N/A,#N/A,TRUE,"MN";#N/A,#N/A,TRUE,"CB-CN ";#N/A,#N/A,TRUE,"Point TVA (avec ES)"}</definedName>
    <definedName name="gfq" hidden="1">{#N/A,#N/A,TRUE,"Page de garde";#N/A,#N/A,TRUE,"Récap";#N/A,#N/A,TRUE,"2001";#N/A,#N/A,TRUE,"2002";#N/A,#N/A,TRUE,"MN";#N/A,#N/A,TRUE,"CB-CN ";#N/A,#N/A,TRUE,"Point TVA (avec ES)"}</definedName>
    <definedName name="ghcfyhj" localSheetId="5" hidden="1">{#N/A,#N/A,TRUE,"Page de garde";#N/A,#N/A,TRUE,"Récap";#N/A,#N/A,TRUE,"2001";#N/A,#N/A,TRUE,"2002";#N/A,#N/A,TRUE,"MN";#N/A,#N/A,TRUE,"CB-CN ";#N/A,#N/A,TRUE,"Point TVA (avec ES)"}</definedName>
    <definedName name="ghcfyhj" hidden="1">{#N/A,#N/A,TRUE,"Page de garde";#N/A,#N/A,TRUE,"Récap";#N/A,#N/A,TRUE,"2001";#N/A,#N/A,TRUE,"2002";#N/A,#N/A,TRUE,"MN";#N/A,#N/A,TRUE,"CB-CN ";#N/A,#N/A,TRUE,"Point TVA (avec ES)"}</definedName>
    <definedName name="GRT" localSheetId="5" hidden="1">{#N/A,#N/A,FALSE,"Synthèse";#N/A,#N/A,FALSE,"Evolution de la TVA";#N/A,#N/A,FALSE,"Ventilation DGI-Douanes";#N/A,#N/A,FALSE,"prévision hors constaté ";#N/A,#N/A,FALSE,"recettes et écart à la prévisio"}</definedName>
    <definedName name="GRT" hidden="1">{#N/A,#N/A,FALSE,"Synthèse";#N/A,#N/A,FALSE,"Evolution de la TVA";#N/A,#N/A,FALSE,"Ventilation DGI-Douanes";#N/A,#N/A,FALSE,"prévision hors constaté ";#N/A,#N/A,FALSE,"recettes et écart à la prévisio"}</definedName>
    <definedName name="gvq" localSheetId="5" hidden="1">{#N/A,#N/A,TRUE,"Page de garde";#N/A,#N/A,TRUE,"Récap";#N/A,#N/A,TRUE,"2001";#N/A,#N/A,TRUE,"2002";#N/A,#N/A,TRUE,"MN";#N/A,#N/A,TRUE,"CB-CN ";#N/A,#N/A,TRUE,"Point TVA (avec ES)"}</definedName>
    <definedName name="gvq" hidden="1">{#N/A,#N/A,TRUE,"Page de garde";#N/A,#N/A,TRUE,"Récap";#N/A,#N/A,TRUE,"2001";#N/A,#N/A,TRUE,"2002";#N/A,#N/A,TRUE,"MN";#N/A,#N/A,TRUE,"CB-CN ";#N/A,#N/A,TRUE,"Point TVA (avec ES)"}</definedName>
    <definedName name="hjdf" localSheetId="5" hidden="1">{#N/A,#N/A,FALSE,"couv";#N/A,#N/A,FALSE,"A1";#N/A,#N/A,FALSE,"B1";#N/A,#N/A,FALSE,"B2";#N/A,#N/A,FALSE,"C1";#N/A,#N/A,FALSE,"C3";#N/A,#N/A,FALSE,"C4";#N/A,#N/A,FALSE,"D1";#N/A,#N/A,FALSE,"D2";#N/A,#N/A,FALSE,"D3";#N/A,#N/A,FALSE,"E";#N/A,#N/A,FALSE,"E1A";#N/A,#N/A,FALSE,"E1B";#N/A,#N/A,FALSE,"E2";#N/A,#N/A,FALSE,"E3A ";#N/A,#N/A,FALSE,"E3B";#N/A,#N/A,FALSE,"E4";#N/A,#N/A,FALSE,"F1"}</definedName>
    <definedName name="hjdf" hidden="1">{#N/A,#N/A,FALSE,"couv";#N/A,#N/A,FALSE,"A1";#N/A,#N/A,FALSE,"B1";#N/A,#N/A,FALSE,"B2";#N/A,#N/A,FALSE,"C1";#N/A,#N/A,FALSE,"C3";#N/A,#N/A,FALSE,"C4";#N/A,#N/A,FALSE,"D1";#N/A,#N/A,FALSE,"D2";#N/A,#N/A,FALSE,"D3";#N/A,#N/A,FALSE,"E";#N/A,#N/A,FALSE,"E1A";#N/A,#N/A,FALSE,"E1B";#N/A,#N/A,FALSE,"E2";#N/A,#N/A,FALSE,"E3A ";#N/A,#N/A,FALSE,"E3B";#N/A,#N/A,FALSE,"E4";#N/A,#N/A,FALSE,"F1"}</definedName>
    <definedName name="HTML_CodePage" hidden="1">1252</definedName>
    <definedName name="HTML_Control" localSheetId="5" hidden="1">{"'TBADMI (Annexe 3)'!$B$164:$G$189"}</definedName>
    <definedName name="HTML_Control" hidden="1">{"'TBADMI (Annexe 3)'!$B$164:$G$189"}</definedName>
    <definedName name="HTML_Description" hidden="1">""</definedName>
    <definedName name="HTML_Email" hidden="1">""</definedName>
    <definedName name="HTML_Header" hidden="1">"TBADMI (Annexe 3)"</definedName>
    <definedName name="HTML_LastUpdate" hidden="1">"22/09/2000"</definedName>
    <definedName name="HTML_LineAfter" hidden="1">FALSE</definedName>
    <definedName name="HTML_LineBefore" hidden="1">FALSE</definedName>
    <definedName name="HTML_Name" hidden="1">"Alain NICOLAS"</definedName>
    <definedName name="HTML_OBDlg2" hidden="1">TRUE</definedName>
    <definedName name="HTML_OBDlg4" hidden="1">TRUE</definedName>
    <definedName name="HTML_OS" hidden="1">0</definedName>
    <definedName name="HTML_PathFile" hidden="1">"D:\Mes documents\MonHTML.htm"</definedName>
    <definedName name="HTML_Title" hidden="1">"DSG - TBADMI_V2"</definedName>
    <definedName name="ib" localSheetId="5" hidden="1">{#N/A,#N/A,TRUE,"Page de garde";#N/A,#N/A,TRUE,"Récap";#N/A,#N/A,TRUE,"2001";#N/A,#N/A,TRUE,"2002";#N/A,#N/A,TRUE,"MN";#N/A,#N/A,TRUE,"CB-CN ";#N/A,#N/A,TRUE,"Point TVA (avec ES)"}</definedName>
    <definedName name="ib" hidden="1">{#N/A,#N/A,TRUE,"Page de garde";#N/A,#N/A,TRUE,"Récap";#N/A,#N/A,TRUE,"2001";#N/A,#N/A,TRUE,"2002";#N/A,#N/A,TRUE,"MN";#N/A,#N/A,TRUE,"CB-CN ";#N/A,#N/A,TRUE,"Point TVA (avec ES)"}</definedName>
    <definedName name="ID" localSheetId="8" hidden="1">"140894e9-6507-41b7-84c5-4e1f4ba42aaf"</definedName>
    <definedName name="_xlnm.Print_Titles" localSheetId="8">'MN, MT et MP'!$4:$4</definedName>
    <definedName name="IQ_ADDIN" hidden="1">"AUTO"</definedName>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41177.6341666667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 name="jdgj" localSheetId="5" hidden="1">{#N/A,#N/A,FALSE,"A2C";#N/A,#N/A,FALSE,"A3C";#N/A,#N/A,FALSE,"A4C";#N/A,#N/A,FALSE,"A5C";#N/A,#N/A,FALSE,"A3PRIVAT";#N/A,#N/A,FALSE,"A4LFI";#N/A,#N/A,FALSE,"A5LFI";#N/A,#N/A,FALSE,"C2C"}</definedName>
    <definedName name="jdgj" hidden="1">{#N/A,#N/A,FALSE,"A2C";#N/A,#N/A,FALSE,"A3C";#N/A,#N/A,FALSE,"A4C";#N/A,#N/A,FALSE,"A5C";#N/A,#N/A,FALSE,"A3PRIVAT";#N/A,#N/A,FALSE,"A4LFI";#N/A,#N/A,FALSE,"A5LFI";#N/A,#N/A,FALSE,"C2C"}</definedName>
    <definedName name="mm" localSheetId="5" hidden="1">{#N/A,#N/A,TRUE,"Page de garde";#N/A,#N/A,TRUE,"Récap";#N/A,#N/A,TRUE,"2001";#N/A,#N/A,TRUE,"2002";#N/A,#N/A,TRUE,"MN";#N/A,#N/A,TRUE,"CB-CN ";#N/A,#N/A,TRUE,"Point TVA (avec ES)"}</definedName>
    <definedName name="mm" hidden="1">{#N/A,#N/A,TRUE,"Page de garde";#N/A,#N/A,TRUE,"Récap";#N/A,#N/A,TRUE,"2001";#N/A,#N/A,TRUE,"2002";#N/A,#N/A,TRUE,"MN";#N/A,#N/A,TRUE,"CB-CN ";#N/A,#N/A,TRUE,"Point TVA (avec ES)"}</definedName>
    <definedName name="qs" localSheetId="5" hidden="1">{#N/A,#N/A,TRUE,"Page de garde";#N/A,#N/A,TRUE,"Récap";#N/A,#N/A,TRUE,"2001";#N/A,#N/A,TRUE,"2002";#N/A,#N/A,TRUE,"MN";#N/A,#N/A,TRUE,"CB-CN ";#N/A,#N/A,TRUE,"Point TVA (avec ES)"}</definedName>
    <definedName name="qs" hidden="1">{#N/A,#N/A,TRUE,"Page de garde";#N/A,#N/A,TRUE,"Récap";#N/A,#N/A,TRUE,"2001";#N/A,#N/A,TRUE,"2002";#N/A,#N/A,TRUE,"MN";#N/A,#N/A,TRUE,"CB-CN ";#N/A,#N/A,TRUE,"Point TVA (avec ES)"}</definedName>
    <definedName name="sdqv" localSheetId="5" hidden="1">{#N/A,#N/A,TRUE,"Page de garde";#N/A,#N/A,TRUE,"Récap";#N/A,#N/A,TRUE,"2001";#N/A,#N/A,TRUE,"2002";#N/A,#N/A,TRUE,"MN";#N/A,#N/A,TRUE,"CB-CN ";#N/A,#N/A,TRUE,"Point TVA (avec ES)"}</definedName>
    <definedName name="sdqv" hidden="1">{#N/A,#N/A,TRUE,"Page de garde";#N/A,#N/A,TRUE,"Récap";#N/A,#N/A,TRUE,"2001";#N/A,#N/A,TRUE,"2002";#N/A,#N/A,TRUE,"MN";#N/A,#N/A,TRUE,"CB-CN ";#N/A,#N/A,TRUE,"Point TVA (avec ES)"}</definedName>
    <definedName name="Solde" localSheetId="5" hidden="1">{#N/A,#N/A,TRUE,"Page de garde";#N/A,#N/A,TRUE,"Récap";#N/A,#N/A,TRUE,"2001";#N/A,#N/A,TRUE,"2002";#N/A,#N/A,TRUE,"MN";#N/A,#N/A,TRUE,"CB-CN ";#N/A,#N/A,TRUE,"Point TVA (avec ES)"}</definedName>
    <definedName name="Solde" hidden="1">{#N/A,#N/A,TRUE,"Page de garde";#N/A,#N/A,TRUE,"Récap";#N/A,#N/A,TRUE,"2001";#N/A,#N/A,TRUE,"2002";#N/A,#N/A,TRUE,"MN";#N/A,#N/A,TRUE,"CB-CN ";#N/A,#N/A,TRUE,"Point TVA (avec ES)"}</definedName>
    <definedName name="sqdf" localSheetId="5" hidden="1">{#N/A,#N/A,FALSE,"couv";#N/A,#N/A,FALSE,"A1";#N/A,#N/A,FALSE,"B1";#N/A,#N/A,FALSE,"B2";#N/A,#N/A,FALSE,"C1";#N/A,#N/A,FALSE,"C3";#N/A,#N/A,FALSE,"C4";#N/A,#N/A,FALSE,"D1";#N/A,#N/A,FALSE,"D2";#N/A,#N/A,FALSE,"D3";#N/A,#N/A,FALSE,"E";#N/A,#N/A,FALSE,"E1A";#N/A,#N/A,FALSE,"E1B";#N/A,#N/A,FALSE,"E2";#N/A,#N/A,FALSE,"E3A ";#N/A,#N/A,FALSE,"E3B";#N/A,#N/A,FALSE,"E4";#N/A,#N/A,FALSE,"F1"}</definedName>
    <definedName name="sqdf" hidden="1">{#N/A,#N/A,FALSE,"couv";#N/A,#N/A,FALSE,"A1";#N/A,#N/A,FALSE,"B1";#N/A,#N/A,FALSE,"B2";#N/A,#N/A,FALSE,"C1";#N/A,#N/A,FALSE,"C3";#N/A,#N/A,FALSE,"C4";#N/A,#N/A,FALSE,"D1";#N/A,#N/A,FALSE,"D2";#N/A,#N/A,FALSE,"D3";#N/A,#N/A,FALSE,"E";#N/A,#N/A,FALSE,"E1A";#N/A,#N/A,FALSE,"E1B";#N/A,#N/A,FALSE,"E2";#N/A,#N/A,FALSE,"E3A ";#N/A,#N/A,FALSE,"E3B";#N/A,#N/A,FALSE,"E4";#N/A,#N/A,FALSE,"F1"}</definedName>
    <definedName name="sss" localSheetId="5" hidden="1">{#N/A,#N/A,TRUE,"Page de garde";#N/A,#N/A,TRUE,"Récap";#N/A,#N/A,TRUE,"2001";#N/A,#N/A,TRUE,"2002";#N/A,#N/A,TRUE,"MN";#N/A,#N/A,TRUE,"CB-CN ";#N/A,#N/A,TRUE,"Point TVA (avec ES)"}</definedName>
    <definedName name="sss" hidden="1">{#N/A,#N/A,TRUE,"Page de garde";#N/A,#N/A,TRUE,"Récap";#N/A,#N/A,TRUE,"2001";#N/A,#N/A,TRUE,"2002";#N/A,#N/A,TRUE,"MN";#N/A,#N/A,TRUE,"CB-CN ";#N/A,#N/A,TRUE,"Point TVA (avec ES)"}</definedName>
    <definedName name="suivi" localSheetId="5" hidden="1">{#N/A,#N/A,FALSE,"Synthèse";#N/A,#N/A,FALSE,"Evolution de la TVA";#N/A,#N/A,FALSE,"Ventilation DGI-Douanes";#N/A,#N/A,FALSE,"prévision hors constaté ";#N/A,#N/A,FALSE,"recettes et écart à la prévisio"}</definedName>
    <definedName name="suivi" hidden="1">{#N/A,#N/A,FALSE,"Synthèse";#N/A,#N/A,FALSE,"Evolution de la TVA";#N/A,#N/A,FALSE,"Ventilation DGI-Douanes";#N/A,#N/A,FALSE,"prévision hors constaté ";#N/A,#N/A,FALSE,"recettes et écart à la prévisio"}</definedName>
    <definedName name="tghth" localSheetId="5" hidden="1">{"'TBADMI (Annexe 3)'!$B$164:$G$189"}</definedName>
    <definedName name="tghth" hidden="1">{"'TBADMI (Annexe 3)'!$B$164:$G$189"}</definedName>
    <definedName name="wrn.Dossier." localSheetId="5" hidden="1">{#N/A,#N/A,FALSE,"couv";#N/A,#N/A,FALSE,"A1";#N/A,#N/A,FALSE,"B1";#N/A,#N/A,FALSE,"B2";#N/A,#N/A,FALSE,"C1";#N/A,#N/A,FALSE,"C3";#N/A,#N/A,FALSE,"C4";#N/A,#N/A,FALSE,"D1";#N/A,#N/A,FALSE,"D2";#N/A,#N/A,FALSE,"D3";#N/A,#N/A,FALSE,"E";#N/A,#N/A,FALSE,"E1A";#N/A,#N/A,FALSE,"E1B";#N/A,#N/A,FALSE,"E2";#N/A,#N/A,FALSE,"E3A ";#N/A,#N/A,FALSE,"E3B";#N/A,#N/A,FALSE,"E4";#N/A,#N/A,FALSE,"F1"}</definedName>
    <definedName name="wrn.Dossier." hidden="1">{#N/A,#N/A,FALSE,"couv";#N/A,#N/A,FALSE,"A1";#N/A,#N/A,FALSE,"B1";#N/A,#N/A,FALSE,"B2";#N/A,#N/A,FALSE,"C1";#N/A,#N/A,FALSE,"C3";#N/A,#N/A,FALSE,"C4";#N/A,#N/A,FALSE,"D1";#N/A,#N/A,FALSE,"D2";#N/A,#N/A,FALSE,"D3";#N/A,#N/A,FALSE,"E";#N/A,#N/A,FALSE,"E1A";#N/A,#N/A,FALSE,"E1B";#N/A,#N/A,FALSE,"E2";#N/A,#N/A,FALSE,"E3A ";#N/A,#N/A,FALSE,"E3B";#N/A,#N/A,FALSE,"E4";#N/A,#N/A,FALSE,"F1"}</definedName>
    <definedName name="wrn.Dossier._.BEH._.2000." localSheetId="5" hidden="1">{#N/A,#N/A,TRUE,"Page de garde";#N/A,#N/A,TRUE,"Récap";#N/A,#N/A,TRUE,"2001";#N/A,#N/A,TRUE,"2002";#N/A,#N/A,TRUE,"MN";#N/A,#N/A,TRUE,"CB-CN ";#N/A,#N/A,TRUE,"Point TVA (avec ES)"}</definedName>
    <definedName name="wrn.Dossier._.BEH._.2000." hidden="1">{#N/A,#N/A,TRUE,"Page de garde";#N/A,#N/A,TRUE,"Récap";#N/A,#N/A,TRUE,"2001";#N/A,#N/A,TRUE,"2002";#N/A,#N/A,TRUE,"MN";#N/A,#N/A,TRUE,"CB-CN ";#N/A,#N/A,TRUE,"Point TVA (avec ES)"}</definedName>
    <definedName name="wrn.Dossier._.janvier." localSheetId="5" hidden="1">{#N/A,#N/A,FALSE,"c_janv";#N/A,#N/A,FALSE,"A1";#N/A,#N/A,FALSE,"B1";#N/A,#N/A,FALSE,"B2";#N/A,#N/A,FALSE,"C1";#N/A,#N/A,FALSE,"C3";#N/A,#N/A,FALSE,"C4";#N/A,#N/A,FALSE,"D1";#N/A,#N/A,FALSE,"D2";#N/A,#N/A,FALSE,"D3";#N/A,#N/A,FALSE,"E1A";#N/A,#N/A,FALSE,"E1B";#N/A,#N/A,FALSE,"E2";#N/A,#N/A,FALSE,"E3A ";#N/A,#N/A,FALSE,"E3B";#N/A,#N/A,FALSE,"E4";#N/A,#N/A,FALSE,"F1"}</definedName>
    <definedName name="wrn.Dossier._.janvier." hidden="1">{#N/A,#N/A,FALSE,"c_janv";#N/A,#N/A,FALSE,"A1";#N/A,#N/A,FALSE,"B1";#N/A,#N/A,FALSE,"B2";#N/A,#N/A,FALSE,"C1";#N/A,#N/A,FALSE,"C3";#N/A,#N/A,FALSE,"C4";#N/A,#N/A,FALSE,"D1";#N/A,#N/A,FALSE,"D2";#N/A,#N/A,FALSE,"D3";#N/A,#N/A,FALSE,"E1A";#N/A,#N/A,FALSE,"E1B";#N/A,#N/A,FALSE,"E2";#N/A,#N/A,FALSE,"E3A ";#N/A,#N/A,FALSE,"E3B";#N/A,#N/A,FALSE,"E4";#N/A,#N/A,FALSE,"F1"}</definedName>
    <definedName name="wrn.Dossier._.Sénat." localSheetId="5" hidden="1">{#N/A,#N/A,FALSE,"c_sénat";#N/A,#N/A,FALSE,"A1";#N/A,#N/A,FALSE,"B1";#N/A,#N/A,FALSE,"B2";#N/A,#N/A,FALSE,"C1";#N/A,#N/A,FALSE,"C3";#N/A,#N/A,FALSE,"C4";#N/A,#N/A,FALSE,"D1";#N/A,#N/A,FALSE,"D2";#N/A,#N/A,FALSE,"D3";#N/A,#N/A,FALSE,"E1A";#N/A,#N/A,FALSE,"E1B";#N/A,#N/A,FALSE,"E2";#N/A,#N/A,FALSE,"E3A ";#N/A,#N/A,FALSE,"E3B";#N/A,#N/A,FALSE,"E4";#N/A,#N/A,FALSE,"F1"}</definedName>
    <definedName name="wrn.Dossier._.Sénat." hidden="1">{#N/A,#N/A,FALSE,"c_sénat";#N/A,#N/A,FALSE,"A1";#N/A,#N/A,FALSE,"B1";#N/A,#N/A,FALSE,"B2";#N/A,#N/A,FALSE,"C1";#N/A,#N/A,FALSE,"C3";#N/A,#N/A,FALSE,"C4";#N/A,#N/A,FALSE,"D1";#N/A,#N/A,FALSE,"D2";#N/A,#N/A,FALSE,"D3";#N/A,#N/A,FALSE,"E1A";#N/A,#N/A,FALSE,"E1B";#N/A,#N/A,FALSE,"E2";#N/A,#N/A,FALSE,"E3A ";#N/A,#N/A,FALSE,"E3B";#N/A,#N/A,FALSE,"E4";#N/A,#N/A,FALSE,"F1"}</definedName>
    <definedName name="wrn.sh_coul." localSheetId="5" hidden="1">{#N/A,#N/A,FALSE,"A2C";#N/A,#N/A,FALSE,"A3C";#N/A,#N/A,FALSE,"A4C";#N/A,#N/A,FALSE,"A5C";#N/A,#N/A,FALSE,"A3PRIVAT";#N/A,#N/A,FALSE,"A4LFI";#N/A,#N/A,FALSE,"A5LFI";#N/A,#N/A,FALSE,"C2C"}</definedName>
    <definedName name="wrn.sh_coul." hidden="1">{#N/A,#N/A,FALSE,"A2C";#N/A,#N/A,FALSE,"A3C";#N/A,#N/A,FALSE,"A4C";#N/A,#N/A,FALSE,"A5C";#N/A,#N/A,FALSE,"A3PRIVAT";#N/A,#N/A,FALSE,"A4LFI";#N/A,#N/A,FALSE,"A5LFI";#N/A,#N/A,FALSE,"C2C"}</definedName>
    <definedName name="wrn.sh_nb." localSheetId="5" hidden="1">{#N/A,#N/A,FALSE,"A2";#N/A,#N/A,FALSE,"A3";#N/A,#N/A,FALSE,"A4";#N/A,#N/A,FALSE,"A5";#N/A,#N/A,FALSE,"C2"}</definedName>
    <definedName name="wrn.sh_nb." hidden="1">{#N/A,#N/A,FALSE,"A2";#N/A,#N/A,FALSE,"A3";#N/A,#N/A,FALSE,"A4";#N/A,#N/A,FALSE,"A5";#N/A,#N/A,FALSE,"C2"}</definedName>
    <definedName name="wrn.Suivi._.mensuel." localSheetId="5" hidden="1">{#N/A,#N/A,FALSE,"Synthèse";#N/A,#N/A,FALSE,"Evolution de la TVA";#N/A,#N/A,FALSE,"Ventilation DGI-Douanes";#N/A,#N/A,FALSE,"prévision hors constaté ";#N/A,#N/A,FALSE,"recettes et écart à la prévisio"}</definedName>
    <definedName name="wrn.Suivi._.mensuel." hidden="1">{#N/A,#N/A,FALSE,"Synthèse";#N/A,#N/A,FALSE,"Evolution de la TVA";#N/A,#N/A,FALSE,"Ventilation DGI-Douanes";#N/A,#N/A,FALSE,"prévision hors constaté ";#N/A,#N/A,FALSE,"recettes et écart à la prévisio"}</definedName>
    <definedName name="_xlnm.Print_Area" localSheetId="8">'MN, MT et MP'!$C$4:$H$82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 i="3" l="1"/>
  <c r="E8" i="3"/>
  <c r="F8" i="3"/>
  <c r="H32" i="7" l="1"/>
  <c r="G107" i="7"/>
  <c r="H10" i="3" l="1"/>
  <c r="H36" i="15" l="1"/>
  <c r="G36" i="15"/>
  <c r="F36" i="15"/>
  <c r="H33" i="15"/>
  <c r="G33" i="15"/>
  <c r="F33" i="15"/>
  <c r="H20" i="15"/>
  <c r="G20" i="15"/>
  <c r="F20" i="15"/>
  <c r="H16" i="5"/>
  <c r="H13" i="5"/>
  <c r="K16" i="5"/>
  <c r="K15" i="5"/>
  <c r="K14" i="5"/>
  <c r="K13" i="5"/>
  <c r="K12" i="5"/>
  <c r="K11" i="5"/>
  <c r="K10" i="5"/>
  <c r="K9" i="5"/>
  <c r="K8" i="5"/>
  <c r="F20" i="4"/>
  <c r="F62" i="15" l="1"/>
  <c r="H62" i="15"/>
  <c r="G62" i="15"/>
  <c r="F49" i="15"/>
  <c r="G49" i="15"/>
  <c r="H49" i="15"/>
  <c r="G43" i="15"/>
  <c r="F43" i="15"/>
  <c r="H43" i="15"/>
  <c r="F27" i="15"/>
  <c r="H30" i="15"/>
  <c r="F24" i="15"/>
  <c r="H27" i="15"/>
  <c r="F30" i="15"/>
  <c r="G30" i="15"/>
  <c r="G27" i="15"/>
  <c r="G24" i="15"/>
  <c r="H24" i="15"/>
  <c r="F17" i="15"/>
  <c r="H17" i="15"/>
  <c r="G17" i="15"/>
  <c r="F13" i="15"/>
  <c r="H13" i="15"/>
  <c r="G13" i="15"/>
  <c r="F9" i="15"/>
  <c r="G9" i="15"/>
  <c r="H9" i="15"/>
  <c r="I9" i="7"/>
  <c r="K7" i="5"/>
  <c r="F148" i="15" l="1"/>
  <c r="F147" i="15" s="1"/>
  <c r="G148" i="15"/>
  <c r="G147" i="15" s="1"/>
  <c r="H148" i="15"/>
  <c r="H147" i="15" s="1"/>
  <c r="I17" i="7"/>
  <c r="H17" i="7"/>
  <c r="H8" i="7"/>
  <c r="I74" i="7"/>
  <c r="I72" i="7"/>
  <c r="I56" i="7"/>
  <c r="I55" i="7"/>
  <c r="G55" i="7" s="1"/>
  <c r="I54" i="7"/>
  <c r="I28" i="7"/>
  <c r="J24" i="7"/>
  <c r="G10" i="7"/>
  <c r="I8" i="7"/>
  <c r="F32" i="7"/>
  <c r="J17" i="7"/>
  <c r="J8" i="7"/>
  <c r="F8" i="7"/>
  <c r="K17" i="7"/>
  <c r="K26" i="5" s="1"/>
  <c r="K8" i="7"/>
  <c r="K25" i="5" s="1"/>
  <c r="G53" i="14"/>
  <c r="G54" i="7" l="1"/>
  <c r="I32" i="7"/>
  <c r="I13" i="5"/>
  <c r="G9" i="7"/>
  <c r="G18" i="7"/>
  <c r="K24" i="5" l="1"/>
  <c r="H9" i="3"/>
  <c r="H8" i="3" s="1"/>
  <c r="J28" i="7" s="1"/>
  <c r="G94" i="7" l="1"/>
  <c r="H16" i="3"/>
  <c r="H15" i="3"/>
  <c r="H17" i="3"/>
  <c r="H14" i="3"/>
  <c r="J74" i="7" s="1"/>
  <c r="H12" i="3"/>
  <c r="H11" i="3" s="1"/>
  <c r="J97" i="7" l="1"/>
  <c r="G97" i="7" s="1"/>
  <c r="H13" i="3"/>
  <c r="H7" i="3" s="1"/>
  <c r="E11" i="3"/>
  <c r="G13" i="3"/>
  <c r="G11" i="3"/>
  <c r="F13" i="3"/>
  <c r="D13" i="3"/>
  <c r="D11" i="3"/>
  <c r="D8" i="3"/>
  <c r="G7" i="3" l="1"/>
  <c r="E13" i="3"/>
  <c r="E7" i="3" s="1"/>
  <c r="F11" i="3"/>
  <c r="F7" i="3" s="1"/>
  <c r="D7" i="3"/>
  <c r="K31" i="5" l="1"/>
  <c r="J31" i="5"/>
  <c r="I31" i="5"/>
  <c r="H31" i="5"/>
  <c r="F31" i="5"/>
  <c r="E31" i="5"/>
  <c r="D8" i="14"/>
  <c r="E8" i="14"/>
  <c r="F8" i="14"/>
  <c r="H8" i="14"/>
  <c r="I8" i="14"/>
  <c r="J8" i="14"/>
  <c r="K8" i="14"/>
  <c r="G9" i="14"/>
  <c r="G10" i="14"/>
  <c r="G11" i="14"/>
  <c r="D13" i="14"/>
  <c r="E13" i="14"/>
  <c r="F13" i="14"/>
  <c r="H13" i="14"/>
  <c r="I13" i="14"/>
  <c r="J13" i="14"/>
  <c r="K13" i="14"/>
  <c r="G14" i="14"/>
  <c r="G15" i="14"/>
  <c r="G16" i="14"/>
  <c r="G17" i="14"/>
  <c r="G18" i="14"/>
  <c r="G19" i="14"/>
  <c r="G20" i="14"/>
  <c r="D22" i="14"/>
  <c r="E22" i="14"/>
  <c r="F22" i="14"/>
  <c r="H22" i="14"/>
  <c r="I22" i="14"/>
  <c r="J22" i="14"/>
  <c r="K22" i="14"/>
  <c r="G23" i="14"/>
  <c r="G24" i="14"/>
  <c r="G25" i="14"/>
  <c r="G26" i="14"/>
  <c r="G27" i="14"/>
  <c r="G28" i="14"/>
  <c r="D30" i="14"/>
  <c r="E30" i="14"/>
  <c r="F30" i="14"/>
  <c r="H30" i="14"/>
  <c r="I30" i="14"/>
  <c r="J30" i="14"/>
  <c r="K30" i="14"/>
  <c r="G31" i="14"/>
  <c r="G32" i="14"/>
  <c r="G33" i="14"/>
  <c r="G34" i="14"/>
  <c r="G35" i="14"/>
  <c r="G36" i="14"/>
  <c r="G37" i="14"/>
  <c r="G38" i="14"/>
  <c r="D40" i="14"/>
  <c r="E40" i="14"/>
  <c r="F40" i="14"/>
  <c r="H40" i="14"/>
  <c r="I40" i="14"/>
  <c r="J40" i="14"/>
  <c r="K40" i="14"/>
  <c r="G41" i="14"/>
  <c r="G42" i="14"/>
  <c r="G43" i="14"/>
  <c r="G44" i="14"/>
  <c r="G45" i="14"/>
  <c r="G46" i="14"/>
  <c r="G47" i="14"/>
  <c r="G48" i="14"/>
  <c r="G49" i="14"/>
  <c r="D51" i="14"/>
  <c r="E51" i="14"/>
  <c r="F51" i="14"/>
  <c r="H51" i="14"/>
  <c r="I51" i="14"/>
  <c r="J51" i="14"/>
  <c r="K51" i="14"/>
  <c r="G52" i="14"/>
  <c r="G54" i="14"/>
  <c r="G55" i="14"/>
  <c r="G56" i="14"/>
  <c r="G57" i="14"/>
  <c r="G58" i="14"/>
  <c r="G59" i="14"/>
  <c r="G60" i="14"/>
  <c r="G61" i="14"/>
  <c r="G62" i="14"/>
  <c r="G63" i="14"/>
  <c r="G64" i="14"/>
  <c r="G65" i="14"/>
  <c r="G66" i="14"/>
  <c r="G67" i="14"/>
  <c r="G68" i="14"/>
  <c r="G69" i="14"/>
  <c r="G70" i="14"/>
  <c r="G71" i="14"/>
  <c r="G72" i="14"/>
  <c r="G73" i="14"/>
  <c r="G74" i="14"/>
  <c r="I6" i="14" l="1"/>
  <c r="I30" i="5" s="1"/>
  <c r="G51" i="14"/>
  <c r="H6" i="14"/>
  <c r="H30" i="5" s="1"/>
  <c r="F6" i="14"/>
  <c r="J6" i="14"/>
  <c r="J30" i="5" s="1"/>
  <c r="E6" i="14"/>
  <c r="E30" i="5" s="1"/>
  <c r="K6" i="14"/>
  <c r="K30" i="5" s="1"/>
  <c r="G30" i="14"/>
  <c r="G40" i="14"/>
  <c r="G13" i="14"/>
  <c r="G22" i="14"/>
  <c r="G8" i="14"/>
  <c r="D6" i="14"/>
  <c r="D30" i="5" s="1"/>
  <c r="G6" i="14" l="1"/>
  <c r="G30" i="5" s="1"/>
  <c r="F30" i="5"/>
  <c r="G73" i="7"/>
  <c r="G51" i="7"/>
  <c r="J22" i="5" l="1"/>
  <c r="I22" i="5"/>
  <c r="H22" i="5"/>
  <c r="J20" i="5"/>
  <c r="I20" i="5"/>
  <c r="H20" i="5"/>
  <c r="J12" i="5"/>
  <c r="I12" i="5"/>
  <c r="H12" i="5"/>
  <c r="J11" i="5"/>
  <c r="I11" i="5"/>
  <c r="H11" i="5"/>
  <c r="J9" i="5"/>
  <c r="I9" i="5"/>
  <c r="H9" i="5"/>
  <c r="J15" i="5"/>
  <c r="I15" i="5"/>
  <c r="H15" i="5"/>
  <c r="J14" i="5"/>
  <c r="I14" i="5"/>
  <c r="H14" i="5"/>
  <c r="J10" i="5"/>
  <c r="I10" i="5"/>
  <c r="H10" i="5"/>
  <c r="J8" i="5"/>
  <c r="I8" i="5"/>
  <c r="H8" i="5"/>
  <c r="H7" i="5" l="1"/>
  <c r="G8" i="5"/>
  <c r="H27" i="5"/>
  <c r="I27" i="5"/>
  <c r="J27" i="5"/>
  <c r="J21" i="5"/>
  <c r="J28" i="5" s="1"/>
  <c r="I21" i="5"/>
  <c r="I28" i="5" s="1"/>
  <c r="J19" i="5"/>
  <c r="J26" i="5" s="1"/>
  <c r="I18" i="5"/>
  <c r="I25" i="5" s="1"/>
  <c r="H21" i="5"/>
  <c r="H28" i="5" s="1"/>
  <c r="I16" i="5"/>
  <c r="J18" i="5"/>
  <c r="J25" i="5" s="1"/>
  <c r="J16" i="5"/>
  <c r="H19" i="5"/>
  <c r="H26" i="5" s="1"/>
  <c r="I19" i="5"/>
  <c r="I26" i="5" s="1"/>
  <c r="J13" i="5"/>
  <c r="H18" i="5"/>
  <c r="H25" i="5" s="1"/>
  <c r="G35" i="5" l="1"/>
  <c r="G33" i="5"/>
  <c r="G32" i="5"/>
  <c r="G31" i="5" s="1"/>
  <c r="G14" i="5" l="1"/>
  <c r="F19" i="5"/>
  <c r="G13" i="5"/>
  <c r="G15" i="5"/>
  <c r="G16" i="5"/>
  <c r="G9" i="5"/>
  <c r="G10" i="5"/>
  <c r="G25" i="5"/>
  <c r="G11" i="5"/>
  <c r="G26" i="5"/>
  <c r="G12" i="5"/>
  <c r="G15" i="6"/>
  <c r="G24" i="6"/>
  <c r="G32" i="6"/>
  <c r="G22" i="6"/>
  <c r="G31" i="6"/>
  <c r="G8" i="6"/>
  <c r="G16" i="6"/>
  <c r="G25" i="6"/>
  <c r="G9" i="6"/>
  <c r="G17" i="6"/>
  <c r="G26" i="6"/>
  <c r="G10" i="6"/>
  <c r="G18" i="6"/>
  <c r="G27" i="6"/>
  <c r="G11" i="6"/>
  <c r="G19" i="6"/>
  <c r="G28" i="6"/>
  <c r="G12" i="6"/>
  <c r="G20" i="6"/>
  <c r="G29" i="6"/>
  <c r="G13" i="6"/>
  <c r="G21" i="6"/>
  <c r="G30" i="6"/>
  <c r="G19" i="7"/>
  <c r="G33" i="7"/>
  <c r="G41" i="7"/>
  <c r="G49" i="7"/>
  <c r="G60" i="7"/>
  <c r="G68" i="7"/>
  <c r="G77" i="7"/>
  <c r="G85" i="7"/>
  <c r="G102" i="7"/>
  <c r="G30" i="7"/>
  <c r="G40" i="7"/>
  <c r="G48" i="7"/>
  <c r="G59" i="7"/>
  <c r="G67" i="7"/>
  <c r="G76" i="7"/>
  <c r="G84" i="7"/>
  <c r="G92" i="7"/>
  <c r="G101" i="7"/>
  <c r="G93" i="7"/>
  <c r="G20" i="7"/>
  <c r="G34" i="7"/>
  <c r="G42" i="7"/>
  <c r="G50" i="7"/>
  <c r="G61" i="7"/>
  <c r="G69" i="7"/>
  <c r="G78" i="7"/>
  <c r="G86" i="7"/>
  <c r="G95" i="7"/>
  <c r="G103" i="7"/>
  <c r="G11" i="7"/>
  <c r="G21" i="7"/>
  <c r="G35" i="7"/>
  <c r="G43" i="7"/>
  <c r="G52" i="7"/>
  <c r="G62" i="7"/>
  <c r="G70" i="7"/>
  <c r="G79" i="7"/>
  <c r="G87" i="7"/>
  <c r="G96" i="7"/>
  <c r="G104" i="7"/>
  <c r="G12" i="7"/>
  <c r="G24" i="7"/>
  <c r="G36" i="7"/>
  <c r="G44" i="7"/>
  <c r="G53" i="7"/>
  <c r="G63" i="7"/>
  <c r="G71" i="7"/>
  <c r="G80" i="7"/>
  <c r="G88" i="7"/>
  <c r="G105" i="7"/>
  <c r="G13" i="7"/>
  <c r="G25" i="7"/>
  <c r="G37" i="7"/>
  <c r="G45" i="7"/>
  <c r="G56" i="7"/>
  <c r="G64" i="7"/>
  <c r="G72" i="7"/>
  <c r="G81" i="7"/>
  <c r="G89" i="7"/>
  <c r="G98" i="7"/>
  <c r="G106" i="7"/>
  <c r="G14" i="7"/>
  <c r="G28" i="7"/>
  <c r="G38" i="7"/>
  <c r="G46" i="7"/>
  <c r="G57" i="7"/>
  <c r="G65" i="7"/>
  <c r="G74" i="7"/>
  <c r="G82" i="7"/>
  <c r="G90" i="7"/>
  <c r="G99" i="7"/>
  <c r="G15" i="7"/>
  <c r="G29" i="7"/>
  <c r="G39" i="7"/>
  <c r="G47" i="7"/>
  <c r="G58" i="7"/>
  <c r="G66" i="7"/>
  <c r="G75" i="7"/>
  <c r="G83" i="7"/>
  <c r="G91" i="7"/>
  <c r="G100" i="7"/>
  <c r="G108" i="7"/>
  <c r="F7" i="5"/>
  <c r="F20" i="5"/>
  <c r="F21" i="5"/>
  <c r="F27" i="7"/>
  <c r="F23" i="7"/>
  <c r="F18" i="5"/>
  <c r="K23" i="7"/>
  <c r="F17" i="7"/>
  <c r="K27" i="7"/>
  <c r="K28" i="5" s="1"/>
  <c r="K21" i="5" s="1"/>
  <c r="J32" i="7"/>
  <c r="I29" i="5"/>
  <c r="I24" i="5" s="1"/>
  <c r="J27" i="7"/>
  <c r="I27" i="7"/>
  <c r="H27" i="7"/>
  <c r="H6" i="7" s="1"/>
  <c r="J23" i="7"/>
  <c r="I23" i="7"/>
  <c r="H23" i="7"/>
  <c r="G28" i="5" l="1"/>
  <c r="K27" i="5"/>
  <c r="K32" i="7"/>
  <c r="G32" i="7"/>
  <c r="G29" i="5" s="1"/>
  <c r="H29" i="5"/>
  <c r="G7" i="5"/>
  <c r="J29" i="5"/>
  <c r="F6" i="6"/>
  <c r="K6" i="6"/>
  <c r="G17" i="7"/>
  <c r="G23" i="7"/>
  <c r="G27" i="7"/>
  <c r="J6" i="7"/>
  <c r="G8" i="7"/>
  <c r="I6" i="7"/>
  <c r="F6" i="7"/>
  <c r="K29" i="5" l="1"/>
  <c r="K20" i="5"/>
  <c r="G27" i="5"/>
  <c r="F22" i="5"/>
  <c r="F17" i="5" s="1"/>
  <c r="F24" i="5"/>
  <c r="F34" i="5" s="1"/>
  <c r="G6" i="7"/>
  <c r="G21" i="5"/>
  <c r="G20" i="5"/>
  <c r="G19" i="5"/>
  <c r="G18" i="5"/>
  <c r="J23" i="6"/>
  <c r="I23" i="6"/>
  <c r="H23" i="6"/>
  <c r="G23" i="6"/>
  <c r="J14" i="6"/>
  <c r="I14" i="6"/>
  <c r="H14" i="6"/>
  <c r="G14" i="6"/>
  <c r="J7" i="6"/>
  <c r="I7" i="6"/>
  <c r="H7" i="6"/>
  <c r="G7" i="6"/>
  <c r="F36" i="5" l="1"/>
  <c r="H17" i="5"/>
  <c r="D32" i="7"/>
  <c r="E32" i="7"/>
  <c r="D27" i="7"/>
  <c r="E27" i="7"/>
  <c r="D23" i="7"/>
  <c r="E23" i="7"/>
  <c r="D17" i="7"/>
  <c r="E17" i="7"/>
  <c r="D8" i="7"/>
  <c r="E8" i="7"/>
  <c r="H6" i="6"/>
  <c r="G6" i="6"/>
  <c r="I6" i="6"/>
  <c r="J6" i="6"/>
  <c r="E6" i="7" l="1"/>
  <c r="D6" i="7"/>
  <c r="D31" i="5"/>
  <c r="D20" i="5" l="1"/>
  <c r="E22" i="5"/>
  <c r="D21" i="5"/>
  <c r="E18" i="5"/>
  <c r="E19" i="5"/>
  <c r="E20" i="5"/>
  <c r="D19" i="5"/>
  <c r="E21" i="5"/>
  <c r="E6" i="6"/>
  <c r="D6" i="6"/>
  <c r="E7" i="5"/>
  <c r="D7" i="5"/>
  <c r="J7" i="5"/>
  <c r="I7" i="5"/>
  <c r="E24" i="5" l="1"/>
  <c r="D18" i="5"/>
  <c r="E17" i="5"/>
  <c r="E34" i="5" l="1"/>
  <c r="E36" i="5" l="1"/>
  <c r="J17" i="5"/>
  <c r="I17" i="5" l="1"/>
  <c r="J24" i="5" l="1"/>
  <c r="H24" i="5" l="1"/>
  <c r="I34" i="5"/>
  <c r="I36" i="5" s="1"/>
  <c r="J34" i="5"/>
  <c r="J36" i="5" s="1"/>
  <c r="H34" i="5" l="1"/>
  <c r="H36" i="5" s="1"/>
  <c r="G22" i="5"/>
  <c r="G17" i="5" s="1"/>
  <c r="G24" i="5"/>
  <c r="G34" i="5" l="1"/>
  <c r="G36" i="5" s="1"/>
  <c r="D24" i="5"/>
  <c r="D34" i="5" s="1"/>
  <c r="D36" i="5" s="1"/>
  <c r="D22" i="5"/>
  <c r="D17" i="5" s="1"/>
  <c r="K22" i="5"/>
  <c r="K17" i="5" s="1"/>
  <c r="K34" i="5"/>
  <c r="K36" i="5" s="1"/>
</calcChain>
</file>

<file path=xl/sharedStrings.xml><?xml version="1.0" encoding="utf-8"?>
<sst xmlns="http://schemas.openxmlformats.org/spreadsheetml/2006/main" count="912" uniqueCount="439">
  <si>
    <t>Autres</t>
  </si>
  <si>
    <t>200-13-09</t>
  </si>
  <si>
    <t>IR</t>
  </si>
  <si>
    <t>200-13</t>
  </si>
  <si>
    <t>200-13-08</t>
  </si>
  <si>
    <t>Autres remboursements et dégrèvements liés à la gestion des produits de l'État- Admissions en non valeur- Créances liées aux impôts</t>
  </si>
  <si>
    <t>200-13-07</t>
  </si>
  <si>
    <t>Autres remboursements et dégrèvements liés à la gestion des produits de l'État</t>
  </si>
  <si>
    <t>200-13-06</t>
  </si>
  <si>
    <t>Enregistrement, timbre, autres contributions et taxes indirectes  - Dégrèvements et restitutions de sommes indûment perçues</t>
  </si>
  <si>
    <t>200-13-05</t>
  </si>
  <si>
    <t xml:space="preserve">Taxe sur la valeur ajoutée - Dégrèvements et restitutions de sommes indûment perçues  </t>
  </si>
  <si>
    <t>200-13-04</t>
  </si>
  <si>
    <t>TVA</t>
  </si>
  <si>
    <t>Autres impôts directs et taxes assimilées - Dégrèvements et restitutions de sommes indûment perçues</t>
  </si>
  <si>
    <t>200-13-03</t>
  </si>
  <si>
    <t>Impôt sur les sociétés - Dégrèvements et restitutions de sommes indûment perçues</t>
  </si>
  <si>
    <t>200-13-02</t>
  </si>
  <si>
    <t>IS</t>
  </si>
  <si>
    <t>Impôt sur le revenu - Dégrèvements et restitutions de sommes indûment perçues</t>
  </si>
  <si>
    <t>200-13-01</t>
  </si>
  <si>
    <t>Remboursements et dégrèvements liés à la gestion des produits de l'Etat</t>
  </si>
  <si>
    <t>200-12-10</t>
  </si>
  <si>
    <t>200-12</t>
  </si>
  <si>
    <t>200-12-09</t>
  </si>
  <si>
    <t>Acomptes de crédits et de réductions d'impôts sur le revenu</t>
  </si>
  <si>
    <t>200-12-08</t>
  </si>
  <si>
    <t>200-12-06</t>
  </si>
  <si>
    <t>200-12-05</t>
  </si>
  <si>
    <t>200-12-04</t>
  </si>
  <si>
    <t>TICPE</t>
  </si>
  <si>
    <t>Impôt sur les sociétés</t>
  </si>
  <si>
    <t>200-12-03</t>
  </si>
  <si>
    <t>Impôt sur le revenu</t>
  </si>
  <si>
    <t>200-12-02</t>
  </si>
  <si>
    <t>Remboursements et dégrèvements liés à des politiques publiques</t>
  </si>
  <si>
    <t>Restitutions - Prélèvement de solidarité</t>
  </si>
  <si>
    <t>200-11-06</t>
  </si>
  <si>
    <t>200-11</t>
  </si>
  <si>
    <t>200-11-05</t>
  </si>
  <si>
    <t>Autres remboursements et dégrèvements liés à la mécanique de l'impôt</t>
  </si>
  <si>
    <t>200-11-04</t>
  </si>
  <si>
    <t xml:space="preserve">Plafonnement des impositions directes  </t>
  </si>
  <si>
    <t>200-11-03</t>
  </si>
  <si>
    <t>Taxe sur la valeur ajoutée</t>
  </si>
  <si>
    <t>200-11-02</t>
  </si>
  <si>
    <t>200-11-01</t>
  </si>
  <si>
    <t>Remboursements et restitutions liés à la mécanique de l'impôt</t>
  </si>
  <si>
    <t>Autres taxes</t>
  </si>
  <si>
    <t>Imposition forfaitaire sur les entreprises de réseau</t>
  </si>
  <si>
    <t xml:space="preserve">Taxe sur les transactions financières </t>
  </si>
  <si>
    <t>Redevances sur les paris hippiques en ligne</t>
  </si>
  <si>
    <t>Prélèvement sur les jeux de cercle en ligne</t>
  </si>
  <si>
    <t>Prélèvement sur les paris sportifs</t>
  </si>
  <si>
    <t>Prélèvement sur le produit brut des paris hippiques</t>
  </si>
  <si>
    <t>Prélèvements sur le produit des jeux dans les casinos</t>
  </si>
  <si>
    <t>Produits des jeux exploités par La Française des jeux (hors paris sportifs)</t>
  </si>
  <si>
    <t>Taxes sur les stations et liaisons radio-électriques privées</t>
  </si>
  <si>
    <t>Taxe sur les installations nucléaires de base</t>
  </si>
  <si>
    <t>Taxe de l'aviation civile</t>
  </si>
  <si>
    <t>Taxe sur certaines dépenses de publicité</t>
  </si>
  <si>
    <t>Redevance sanitaire d'abattage et de découpage</t>
  </si>
  <si>
    <t>Taxe spéciale sur la publicité télévisée</t>
  </si>
  <si>
    <t>Taxe sur achats de viande</t>
  </si>
  <si>
    <t>Autres droits et recettes à différents titres</t>
  </si>
  <si>
    <t>Taxe spéciale sur certains véhicules routiers</t>
  </si>
  <si>
    <t>Droits de consommation sur les tabacs</t>
  </si>
  <si>
    <t>Taxe générale sur les activités polluantes</t>
  </si>
  <si>
    <t>Amendes et confiscations</t>
  </si>
  <si>
    <t>Autres droits et recettes accessoires</t>
  </si>
  <si>
    <t>Autres taxes intérieures</t>
  </si>
  <si>
    <t>Taxe additionnelle sur cartes grises</t>
  </si>
  <si>
    <t>Actes et écrits assujettis au timbre de dimension</t>
  </si>
  <si>
    <t>Timbre unique</t>
  </si>
  <si>
    <t>Recettes diverses et pénalités</t>
  </si>
  <si>
    <t>Prélèvement sur les sommes versées par les organismes d'assurance et assimilés à raison des contrats d'assurance en cas de décès</t>
  </si>
  <si>
    <t>Taxe de publicité foncière</t>
  </si>
  <si>
    <t>Autres conventions et actes civils</t>
  </si>
  <si>
    <t>Contribution sécurité immobilière</t>
  </si>
  <si>
    <t>Mutations à titre gratuit par décès (successions)</t>
  </si>
  <si>
    <t>Mutations à titre gratuit entre vifs (donations)</t>
  </si>
  <si>
    <t>Mutations à titre onéreux d'immeubles et droits immobiliers</t>
  </si>
  <si>
    <t>Mutations à titre onéreux de meubles corporels</t>
  </si>
  <si>
    <t>Mutations à titre onéreux de fonds de commerce</t>
  </si>
  <si>
    <t>Mutations à titre onéreux de créances, rentes, prix d'offices</t>
  </si>
  <si>
    <t>Taxe intérieure de consommation sur les produits énergétiques</t>
  </si>
  <si>
    <t>Recettes diverses</t>
  </si>
  <si>
    <t>Cotisation foncière des entreprises</t>
  </si>
  <si>
    <t xml:space="preserve">Taxe d'habitation sur résidence principale </t>
  </si>
  <si>
    <t>Taxe GAFA</t>
  </si>
  <si>
    <t>Prélèvement de solidarité</t>
  </si>
  <si>
    <t>Cotisation nationale de péréquation de TP (ancienne RNF Reversement au budget général de diverses ressources affectées)</t>
  </si>
  <si>
    <t>Taxe sur les surfaces commerciales</t>
  </si>
  <si>
    <t>Contribution des institutions financières</t>
  </si>
  <si>
    <t>Taxe forfaitaire sur les métaux précieux, les bijoux, les objets d'art, de collection et d'antiquité</t>
  </si>
  <si>
    <t>Taxe de participation des employeurs au financement de la formation professionnelle continue</t>
  </si>
  <si>
    <t>Participation employeurs à l'effort de construction</t>
  </si>
  <si>
    <t>Cotisation minimale de taxe professionnelle</t>
  </si>
  <si>
    <t>Prélèvements sur les entreprises d'assurance</t>
  </si>
  <si>
    <t>Taxe sur les locaux à usage de bureaux, les locaux commerciaux et de stockage</t>
  </si>
  <si>
    <t>Impôt sur la fortune immobilière</t>
  </si>
  <si>
    <t>Prélèvement exceptionnel de 25% sur les distributions de bénéfices</t>
  </si>
  <si>
    <t>Précompte dû par les sociétés au titre de certains bénéfices distribués (loi n°65-566 du 12 juillet 1965 art 3)</t>
  </si>
  <si>
    <t>Retenues à la source et prélèvements sur les revenus de capitaux mobiliers et le prélèvement sur les bons anonymes</t>
  </si>
  <si>
    <t>Retenues à la source sur certains bénéfices non commerciaux et de l'impôt sur le revenu</t>
  </si>
  <si>
    <t>Contribution de la Caisse des dépôts et consignations représentative de l'impôt sur les sociétés</t>
  </si>
  <si>
    <t>Contribution sociale sur les bénéfices des sociétés</t>
  </si>
  <si>
    <t>Autres impôts directs perçus par voie d'émission de rôles</t>
  </si>
  <si>
    <t>Autres RFN</t>
  </si>
  <si>
    <t>Impôt sur les sociétés brut</t>
  </si>
  <si>
    <t>Impôt sur le revenu brut</t>
  </si>
  <si>
    <t>Total</t>
  </si>
  <si>
    <t>Sécurité sociale</t>
  </si>
  <si>
    <t>Collectivités territoriales</t>
  </si>
  <si>
    <t>Mesures de transfert</t>
  </si>
  <si>
    <t>Mesures de périmètre</t>
  </si>
  <si>
    <t>En millions d'euros</t>
  </si>
  <si>
    <t>2 Prélèvement sur les recettes de l'État au profit de l'Union européenne</t>
  </si>
  <si>
    <t>1 Prélèvements sur les recettes de l'État au profit des collectivités territoriales</t>
  </si>
  <si>
    <t>5 Autres remboursements et dégrèvements d'impôts d'État (y compris CSB)</t>
  </si>
  <si>
    <t>2 Impôt sur les sociétés</t>
  </si>
  <si>
    <t>1 Impôt sur le revenu</t>
  </si>
  <si>
    <t>7 Enregistrement, timbre, autres contributions et taxes indirectes</t>
  </si>
  <si>
    <t>6 Taxe sur la valeur ajoutée</t>
  </si>
  <si>
    <t>5 Taxe intérieure de consommation sur les produits énergétiques</t>
  </si>
  <si>
    <t>4 Autres impôts directs et taxes assimilées</t>
  </si>
  <si>
    <t>3ter Contribution de la Caisse des dépôts et consignations représentative de l'impôt sur les sociétés</t>
  </si>
  <si>
    <t>3bis Contribution sociale nette sur les bénéfices des sociétés</t>
  </si>
  <si>
    <t>3 Impôt brut sur les sociétés</t>
  </si>
  <si>
    <t>2 Autres impôts directs perçus par voie d'émission de rôles</t>
  </si>
  <si>
    <t>1 Impôt brut sur le revenu</t>
  </si>
  <si>
    <t>V&amp;M - Tableau récapitulatif des mesures de périmètre et de transfert</t>
  </si>
  <si>
    <t>Mesures nouvelles du présent PLF</t>
  </si>
  <si>
    <t>V&amp;M - Tableau récapitulatif des mesures nouvelles au présent PLF</t>
  </si>
  <si>
    <t>Recettes nettes totales du budget général y compris fonds de concours</t>
  </si>
  <si>
    <t>F Fonds de concours et attributions de produits</t>
  </si>
  <si>
    <t>Recettes totales nettes des prélèvements</t>
  </si>
  <si>
    <t>E Prélèvements sur les recettes de l'État</t>
  </si>
  <si>
    <t>D Recettes non fiscales</t>
  </si>
  <si>
    <t>5 Autres recettes fiscales nettes</t>
  </si>
  <si>
    <t>4 Taxe sur la valeur ajoutée nette</t>
  </si>
  <si>
    <t>3 TICPE nette</t>
  </si>
  <si>
    <t>B Remboursements et dégrèvements</t>
  </si>
  <si>
    <t>A Recettes fiscales</t>
  </si>
  <si>
    <t>Mesures de périmètre et de transfert</t>
  </si>
  <si>
    <t>Mesures antèrieures au présent PLF</t>
  </si>
  <si>
    <t>Effet de l'évolution spontanée</t>
  </si>
  <si>
    <t>Désignation des recettes</t>
  </si>
  <si>
    <t>V&amp;M - Evolution des recettes du budget général</t>
  </si>
  <si>
    <t>3 Taxe intérieure de consommation sur les produits énergétiques</t>
  </si>
  <si>
    <t>4 Taxe sur la valeur ajoutée</t>
  </si>
  <si>
    <t>Remboursements et dégrèvements d'impôts d'État (crédits évaluatifs)</t>
  </si>
  <si>
    <t>Taxe intérieure de consommation sur le gaz naturel</t>
  </si>
  <si>
    <t>Contribution à l'audiovisuel public</t>
  </si>
  <si>
    <t>Taxe intérieure sur la consommation finale d'électricité</t>
  </si>
  <si>
    <t>Crédit d'impôt contemporain - Services aux particuliers</t>
  </si>
  <si>
    <t>Autres remboursements et dégrèvements liés à la gestion des produits de l'État- Dations en paiement, intérêts moratoires, remises de débets</t>
  </si>
  <si>
    <t>Prélèvement à la source (PAS) : dégrèvements et restitutions</t>
  </si>
  <si>
    <t>Ligne</t>
  </si>
  <si>
    <t>Impôt sur le revenu net</t>
  </si>
  <si>
    <t>Impôt sur les sociétés net</t>
  </si>
  <si>
    <t>Taxe intérieure de consommation sur les produits énergétiques brute Etat</t>
  </si>
  <si>
    <t>Taxe intérieure de consommation sur les produits énergétiques nette Etat</t>
  </si>
  <si>
    <t>Taxe sur la valeur ajoutée Etat brute</t>
  </si>
  <si>
    <t>Taxe sur la valeur ajoutée Etat nette</t>
  </si>
  <si>
    <t>Autres recettes fiscales nettes</t>
  </si>
  <si>
    <t>1753</t>
  </si>
  <si>
    <t>1201</t>
  </si>
  <si>
    <t>1497</t>
  </si>
  <si>
    <t>Suppression de la CVAE - Budgétisation de la CVAE à l'Etat</t>
  </si>
  <si>
    <t>Suppression de la CVAE - Effet transfert de FAR à l'Etat</t>
  </si>
  <si>
    <t>1501</t>
  </si>
  <si>
    <t>Hausse de TICPE affectée à l'AFITF (LFI23)</t>
  </si>
  <si>
    <t>1601</t>
  </si>
  <si>
    <t>Suppression de la CVAE Etat</t>
  </si>
  <si>
    <t>Suppression de la CVAE - Effet retour IS</t>
  </si>
  <si>
    <t>Prolongation TICFE bouclier tarifaire électricité au périmètre TCCFE</t>
  </si>
  <si>
    <t>1301</t>
  </si>
  <si>
    <t>Impôt</t>
  </si>
  <si>
    <t>Nature</t>
  </si>
  <si>
    <t>Total mesures de transfert et de périmètre</t>
  </si>
  <si>
    <t>Ligne budgétaire</t>
  </si>
  <si>
    <t>Libellé</t>
  </si>
  <si>
    <t>Mesure nouvelle</t>
  </si>
  <si>
    <t>Mesures nouvelles au présent PLF</t>
  </si>
  <si>
    <t>Taxe sur les gestionnaires d'infrastructures de transport (écrêtement)</t>
  </si>
  <si>
    <t>Cotisation sur la valeur ajoutée des entreprises</t>
  </si>
  <si>
    <t>Contribution sur la rente infra-marginale de la production d’électricité</t>
  </si>
  <si>
    <t>V&amp;M - Tableau récapitulatif des recettes fiscales nettes</t>
  </si>
  <si>
    <t>V&amp;M - Tableau récapitulatif des remboursements et dégrèvements d'impôts d'Etat</t>
  </si>
  <si>
    <t>Autres produits divers</t>
  </si>
  <si>
    <t>Produits divers</t>
  </si>
  <si>
    <t>Recettes accidentelles</t>
  </si>
  <si>
    <t>Soulte sur reprise de dette et recettes assimilées</t>
  </si>
  <si>
    <t>Remboursement de certaines éxonérations de taxe foncière sur les propriétés non bâties</t>
  </si>
  <si>
    <t>Recettes diverses en provenance de l'étranger</t>
  </si>
  <si>
    <t>Intérêts divers (hors immobilisations financières)</t>
  </si>
  <si>
    <t>Reversements de fonds sur les dépenses des ministères ne donnant pas lieu à rétablissement de crédit</t>
  </si>
  <si>
    <t>Divers versements de l'Union européenne</t>
  </si>
  <si>
    <t>Recouvrements après admission en non-valeur</t>
  </si>
  <si>
    <t>Récupération d'indus</t>
  </si>
  <si>
    <t>Remboursement des frais de scolarité et accessoires</t>
  </si>
  <si>
    <t>Recouvrement des indemnisations versées par l'Etat au titre des expulsions locatives</t>
  </si>
  <si>
    <t>Frais d'inscription</t>
  </si>
  <si>
    <t>Commissions et frais de trésorerie perçus par l'Etat dans le cadre de son activité régalienne</t>
  </si>
  <si>
    <t>Prélèvements effectués dans le cadre de la directive épargne</t>
  </si>
  <si>
    <t>Prélèvement effectué sur les salaires des conservateurs des hypothèques</t>
  </si>
  <si>
    <t>Redevances et divers produits pour frais de contrôle et de gestion</t>
  </si>
  <si>
    <t>Produits des chancelleries diplomatiques et consulaires</t>
  </si>
  <si>
    <t>Divers produits de la rémunération de la garantie de l'Etat</t>
  </si>
  <si>
    <t>Prélèvements sur les fonds d'épargne gérés par la Caisse des Dépôts et Consignations</t>
  </si>
  <si>
    <t>Reversements au titre des procédures de soutien financier au commerce extérieur</t>
  </si>
  <si>
    <t>Reversements de Natixis</t>
  </si>
  <si>
    <t>Divers</t>
  </si>
  <si>
    <t>Pénalités</t>
  </si>
  <si>
    <t>Intérêts moratoires</t>
  </si>
  <si>
    <t>Frais de justice et d'instance</t>
  </si>
  <si>
    <t>Frais de poursuite</t>
  </si>
  <si>
    <t>Produit des autres amendes et condamnations pécuniaires</t>
  </si>
  <si>
    <t xml:space="preserve">Recouvrements poursuivis à l'initiative de l'agence judiciaire de l'Etat </t>
  </si>
  <si>
    <t>Produits des amendes prononcées par les autres autorités administratives indépendantes</t>
  </si>
  <si>
    <t>Produits des amendes prononcées par les autorités de la concurrence</t>
  </si>
  <si>
    <t>Produits des amendes forfaitaires de la police de la circulation</t>
  </si>
  <si>
    <t>Amendes, sanctions, pénalités et frais de poursuites</t>
  </si>
  <si>
    <t>Autres remboursements d'avances, de prêts et d'autres créances immobilisées</t>
  </si>
  <si>
    <t>Reversement au titre des créances garanties par l'Etat</t>
  </si>
  <si>
    <t>Autres avances remboursables sous conditions</t>
  </si>
  <si>
    <t>Avances remboursables sous conditions consenties à l'aviation civile</t>
  </si>
  <si>
    <t>Intérêts des autres prêts et avances</t>
  </si>
  <si>
    <t>Intérêts des avances à divers services de l'Etat ou organismes gérant des services publics</t>
  </si>
  <si>
    <t>Intérêts des prêts du fonds de développement économique et social</t>
  </si>
  <si>
    <t>Intérêts des prêts à des banques et à des Etats étrangers</t>
  </si>
  <si>
    <t xml:space="preserve">Remboursements et intérêts des prêts, avances et autres immobilisations financières </t>
  </si>
  <si>
    <t>Autres recettes diverses</t>
  </si>
  <si>
    <t>Produits de la vente de divers services</t>
  </si>
  <si>
    <t>Produits de la vente de divers biens</t>
  </si>
  <si>
    <t>Rémunération des prestations assurées par les services du Trésor public au titre de la collecte de l'épargne</t>
  </si>
  <si>
    <t>Autres frais d'assiette et de recouvrement</t>
  </si>
  <si>
    <t>Remboursement par les Communautés européennes des frais d'assiette et de perception des impôts et taxes perçus au profit de son budget</t>
  </si>
  <si>
    <t>Produits de la vente de biens et services</t>
  </si>
  <si>
    <t>Autres revenus du domaine</t>
  </si>
  <si>
    <t>Autres produits de cessions d'actifs</t>
  </si>
  <si>
    <t>Paiement par les administrations de leurs loyers budgétaires</t>
  </si>
  <si>
    <t>Redevances d'usage des fréquences radioélectriques</t>
  </si>
  <si>
    <t>Revenus du domaine privé</t>
  </si>
  <si>
    <t>Autres revenus du domaine public</t>
  </si>
  <si>
    <t>Revenus du domaine public non militaire</t>
  </si>
  <si>
    <t>Produits du domaine de l’Etat</t>
  </si>
  <si>
    <t>Autres dividendes et recettes assimilées</t>
  </si>
  <si>
    <t>Produits des participations de l'Etat dans des entreprises non financières et bénéfices des établissements publics non financiers</t>
  </si>
  <si>
    <t>Produits des participations de l'Etat dans des entreprises financières</t>
  </si>
  <si>
    <t>Dividendes et recettes assimilées</t>
  </si>
  <si>
    <t>Recettes non fiscales</t>
  </si>
  <si>
    <t>V&amp;M - Tableau récapitulatif des recettes non fiscales</t>
  </si>
  <si>
    <r>
      <t>Recettes fiscales nettes</t>
    </r>
    <r>
      <rPr>
        <b/>
        <vertAlign val="superscript"/>
        <sz val="10"/>
        <color theme="1"/>
        <rFont val="Arial Narrow"/>
        <family val="2"/>
      </rPr>
      <t>(1)</t>
    </r>
  </si>
  <si>
    <t>Note : (1) A la suite de la loi organique du 28 décembre 2021 relative à la modernisation de la gestion des finances publiques, les recettes fiscales nettes sont définies comme la différence entre les recettes fiscales brutes et les remboursements et dégrèvements d’impôts d’Etat uniquement, les remboursements et dégrèvements d’impôts locaux étant désormais comptabilisés en dépenses. Cette nouvelle définition a été appliquée pour la première fois dans le cadre de la LFI pour 2023. Les chiffres 2022 présentés ci-dessus ont été retraités afin de permettre une comparaison à périmètre constant, ceux-ci étant auparavant également minorés des remboursements et dégrèvements d’impôts locaux.</t>
  </si>
  <si>
    <t>LFI/LFSS_2023</t>
  </si>
  <si>
    <t>LFI/LFSS_2020</t>
  </si>
  <si>
    <t>LFR3_2020</t>
  </si>
  <si>
    <t>LFI/LFSS_2017</t>
  </si>
  <si>
    <t>1101</t>
  </si>
  <si>
    <t>LFI/LFSS_2018</t>
  </si>
  <si>
    <t>Autres IR - LFI 2013</t>
  </si>
  <si>
    <t>LFI/LFSS_2021</t>
  </si>
  <si>
    <t>PLFR III - Autres mesures IR</t>
  </si>
  <si>
    <t>LFI/LFSS_2022</t>
  </si>
  <si>
    <t>Autres_2023</t>
  </si>
  <si>
    <t>Modification du transfert de TVA à l'Unedic</t>
  </si>
  <si>
    <t>LFI/LFSS_2024</t>
  </si>
  <si>
    <t>Hausse de TICPE affectée à l'AFITF (LFI24)</t>
  </si>
  <si>
    <t>Compensation aux régions du transfert de la compétence d'autorité administrative en matière de gestion des sites NATURA 2000 exclusivement terrestres</t>
  </si>
  <si>
    <t>LFI/LFSS_2019</t>
  </si>
  <si>
    <t xml:space="preserve">Transfert de TVA en compensation de la baisse des cotisations sur les travailleurs indépendants </t>
  </si>
  <si>
    <t xml:space="preserve">Taux réduit IS : Porter le plafond du taux réduit d'IS PME de 38 120€ à 40 180€ de bénéfices imposables et exclure les sociétés à prépondérance immobilière du taux de 15% </t>
  </si>
  <si>
    <t>Rénovation thermique des TPE et PME</t>
  </si>
  <si>
    <t>1799</t>
  </si>
  <si>
    <t>Relèvement de 5 000 € à 7 500 € du plafond de défiscalisation pour les heures supplémentaires et complémentaires effectuées par les salariés à compter du 1er janvier 2022</t>
  </si>
  <si>
    <t>Rehaussement du plafond du CI garde d'enfants</t>
  </si>
  <si>
    <t>Réforme des crédits de paiement sur les droits de succession par la réduction des durées maximales de crédits accordés par l’État</t>
  </si>
  <si>
    <t>Prorogation régimes zonés (ZRR, AFR, ZAIPME, ZFU-TE, BER, BUD, ZDP) (part IS)</t>
  </si>
  <si>
    <t xml:space="preserve">Prorogation et aménagement de l'abattement pour les dirigeants de PME partant à la retraite </t>
  </si>
  <si>
    <t>Prorogation du crédit d'impôt au titre des dépenses engagées pour la formation du chef d'entreprise (DFI 210315)</t>
  </si>
  <si>
    <t>Prorogation crédit d'impôt en faveur de l'agriculture biologique (part IR)</t>
  </si>
  <si>
    <t>Mise en conformité avec le droit européen du CIR et du CII</t>
  </si>
  <si>
    <t>Mesure SAP : Contemporanéisation du CI-SAP pour les services à destination des personnes handicapées (généralisation)</t>
  </si>
  <si>
    <t>1431</t>
  </si>
  <si>
    <t xml:space="preserve">Hausse de la TGAP </t>
  </si>
  <si>
    <t>MUPPA</t>
  </si>
  <si>
    <t>Effet sur l'IR de la fiscalisation de la prime partage de la valeur (PPV)</t>
  </si>
  <si>
    <t>Demi-part veuves anciens combattants après 60 ans</t>
  </si>
  <si>
    <t>Création du crédit d'impôt pour la recherche collaborative (CICo)_2</t>
  </si>
  <si>
    <t>Création du Crédit d'impôt investissement vert (CIIV)</t>
  </si>
  <si>
    <t>Contribution temporaire de solidarité à compter du 01/01/2022 (règlement européen)</t>
  </si>
  <si>
    <t>CIR – Sortie de certaines dépenses éligibles</t>
  </si>
  <si>
    <t>CI glyphosate (part IR)</t>
  </si>
  <si>
    <t>Augmentation du malus CO2 sur trois ans</t>
  </si>
  <si>
    <t>Amortissement des fonds de commerce - impact IR</t>
  </si>
  <si>
    <t>CICE - hausse de taux - impact IS</t>
  </si>
  <si>
    <t>Prorogation du Pinel jusqu’en 2024</t>
  </si>
  <si>
    <t>Autres_2022</t>
  </si>
  <si>
    <t>Relèvement de 10% du barème de l'indemnité kilométrique</t>
  </si>
  <si>
    <t>Relèvement de 5,4% du barème de l'indemnité kilométrique</t>
  </si>
  <si>
    <t xml:space="preserve">Chronique de baisse du taux d'IS de 33 à 25 </t>
  </si>
  <si>
    <t>Ajustement fiscalité énergétique TICGN - effet retour TVA</t>
  </si>
  <si>
    <t>Ajustement fiscalité énergétique TICGN - effet retour IS</t>
  </si>
  <si>
    <t>CICE - Baisse de taux 18 - impact IS</t>
  </si>
  <si>
    <t>CICE - Suppression 19 - impact IS</t>
  </si>
  <si>
    <t>Effet retour IS plan de relance (baisse des impôts de production)</t>
  </si>
  <si>
    <t>Lissage en 4 ans de la CVAE - Effet retour IS</t>
  </si>
  <si>
    <t>Lissage en 4 ans de la CVAE</t>
  </si>
  <si>
    <t>Suppression de la CVAE - Transfert de TVA aux Apul</t>
  </si>
  <si>
    <t>Compensation des taxes locales de fourniture d'électricité avec TICFE au plancher</t>
  </si>
  <si>
    <t>Budgétisation des taxes locales d'électricité</t>
  </si>
  <si>
    <t>Normalisation fiscalité énergétique TICFE - effet retour TVA</t>
  </si>
  <si>
    <t>Normalisation fiscalité énergétique TICFE - effet retour IS</t>
  </si>
  <si>
    <t>Normalisation fiscalité énergétique TICFE</t>
  </si>
  <si>
    <t>TICFE bouclier tarifaire électricité_effetTVA</t>
  </si>
  <si>
    <t>TICFE bouclier tarifaire électricité_effetIS</t>
  </si>
  <si>
    <t>TICFE bouclier tarifaire électricité - effet R&amp;D</t>
  </si>
  <si>
    <t>TICFE bouclier tarifaire électricité - effet brut</t>
  </si>
  <si>
    <t>Suppression de la CAP</t>
  </si>
  <si>
    <t>Hausse du transfert de TVA au CCF audiovisuel</t>
  </si>
  <si>
    <t>LFR1_2022</t>
  </si>
  <si>
    <t>Transfert de TVA au compte d'avances audiovisuel jusque fin de 2024 en compensation de la suppression de la contribution sur l'audiovisuel</t>
  </si>
  <si>
    <t>Références</t>
  </si>
  <si>
    <t>Dispositif concerné</t>
  </si>
  <si>
    <t>Intitulé de la mesure</t>
  </si>
  <si>
    <t>Lignes budgétaires</t>
  </si>
  <si>
    <t>V&amp;M - Base de données des mesures nouvelles et de transfert chiffrées</t>
  </si>
  <si>
    <t>Exécution 2023</t>
  </si>
  <si>
    <t>Évaluation initiale pour 2024
LFI</t>
  </si>
  <si>
    <t>Évaluation révisée pour 2024
PLF 2025</t>
  </si>
  <si>
    <t>Ecarts entre les évaluations pour 2024 et proposées pour 2025</t>
  </si>
  <si>
    <t>Evaluation proposée pour 2025
PLF 2025</t>
  </si>
  <si>
    <t>11net</t>
  </si>
  <si>
    <t>13net</t>
  </si>
  <si>
    <t>15net</t>
  </si>
  <si>
    <t>16net</t>
  </si>
  <si>
    <t>autresnet</t>
  </si>
  <si>
    <t>Taxe sur les rachats d'actions</t>
  </si>
  <si>
    <t>Contribution exceptionnelle sur les bénéfices des grandes entreprises</t>
  </si>
  <si>
    <t>* A la suite de la loi organique du 28 décembre 2021 relative à la modernisation de la gestion des finances publiques, les recettes fiscales nettes sont définies comme la différence entre les recettes fiscales brutes et les remboursements et dégrèvements d’impôts d’Etat uniquement, les remboursements et dégrèvements d’impôts locaux étant désormais comptabilisés en dépenses. Cette nouvelle définition a été appliquée pour la première fois dans le cadre de la LFI pour 2023. Les chiffres 2022 présentés ci-dessus ont été retraités afin de permettre une comparaison à périmètre constant, ceux-ci étant auparavant également minorés des remboursements et dégrèvements d’impôts locaux.</t>
  </si>
  <si>
    <t>C Recettes fiscales nettes*</t>
  </si>
  <si>
    <t>Total
2025</t>
  </si>
  <si>
    <t>Stabilisation du transfert de la fraction de TVA transférée aux APUL</t>
  </si>
  <si>
    <t>Baisse de la TICPE affectée à l'AFITF</t>
  </si>
  <si>
    <t>Affectation de TICFE pour financer le surcoût lié à la production d'électricité dans les ZNI</t>
  </si>
  <si>
    <t>Budgétisation de la TTF affectée au FSD</t>
  </si>
  <si>
    <t>Budgétisation de la TSBA affectée au FSD</t>
  </si>
  <si>
    <t>Budgétisation du 1% logement affecté au FNAL</t>
  </si>
  <si>
    <t>Hausse des accises sur l'énergie (baisse de facture d'électricité d'environ 9%)</t>
  </si>
  <si>
    <t>Hausse des accises sur l'énergie (baisse de facture d'électricité d'environ 9%) - effet retour IS</t>
  </si>
  <si>
    <t>Suspension de la baisse de CVAE</t>
  </si>
  <si>
    <t>Arrêt du taux réduit de TVA sur les abonnements à l'électricité</t>
  </si>
  <si>
    <t>Arrêt du taux réduit de TVA sur les abonnements à l'électricité et au gaz</t>
  </si>
  <si>
    <t>Hausse des accises sur l'énergie (baisse de facture d'électricité d'environ 9%) - effet retour TVA</t>
  </si>
  <si>
    <t>1 Impôt sur le revenu net</t>
  </si>
  <si>
    <t>Hausse tarifs GNR non agricole (5,99 cts€ / an) – TICPE</t>
  </si>
  <si>
    <t>Aménagements tarifs GNR agricole – TICPE</t>
  </si>
  <si>
    <t xml:space="preserve">Nouveaux paramètres et prorogation du crédit d'impôt eco-PTZ </t>
  </si>
  <si>
    <t xml:space="preserve">Nouveaux paramètres et prorogation du crédit d'impôt PTZ </t>
  </si>
  <si>
    <t>Création d'une provision pour stock de vaches</t>
  </si>
  <si>
    <t>Fiscalité sur l'énergie - annulation de la composante carbone en TICPE 2019 à 2022 - impact R&amp;D</t>
  </si>
  <si>
    <t>Fiscalité sur l'énergie - annulation de la composante carbone en TICPE 2019 à 2022 - impact TICGN</t>
  </si>
  <si>
    <t>Fiscalité sur l'énergie - impact TICGN - 2018</t>
  </si>
  <si>
    <t>Fiscalité sur l'énergie - hausse de la composante carbone en TICPE - Impact R&amp;D - 2018</t>
  </si>
  <si>
    <t>Retour IS du gel des bandeaux</t>
  </si>
  <si>
    <t>Prorogation et modification de l'encadrement européen du crédit d'impôt pour non utilisation de glyphosate en 2023</t>
  </si>
  <si>
    <t>Débudgétisation des taxes locales d'électricité</t>
  </si>
  <si>
    <t>Amendement Sénat et NL AN - transfert TICPE</t>
  </si>
  <si>
    <t>Ajustement fiscalité énergétique TICGN - indexation sur l'inflation - PLF</t>
  </si>
  <si>
    <t>Ajustement fiscalité énergétique  - TICGN (+8€)</t>
  </si>
  <si>
    <t>Transfert de TVA au titre d'une moindre compensation des AG</t>
  </si>
  <si>
    <t>Amendement NL AN - moindre transfert à l'Acoss</t>
  </si>
  <si>
    <t>Compensation financière du transfert FEADER de la compétence en matière de gestion de sites Natura 2000</t>
  </si>
  <si>
    <t>Contribution sur les rentes infra-marginales des producteurs d'électricité (CRIM)</t>
  </si>
  <si>
    <t>Création du CII</t>
  </si>
  <si>
    <t>Prorogaton du CII pour deux ans</t>
  </si>
  <si>
    <t>Contentieux Messer - principal</t>
  </si>
  <si>
    <t>Contentieux OPCVM principal</t>
  </si>
  <si>
    <t>Contentieux OPCVM intérêts</t>
  </si>
  <si>
    <t>Contentieux Précompte - indemnitaire</t>
  </si>
  <si>
    <t>Contentieux RAS - assurance-vie - intérêts</t>
  </si>
  <si>
    <t>Contentieux RAS - assurance-vie - principal</t>
  </si>
  <si>
    <t>Transfert TICPE aux régions -solde</t>
  </si>
  <si>
    <t>Hausse de la contribution sur les contrats d'assurance (régime Cat Nat)</t>
  </si>
  <si>
    <t>Rebudgétisation du 1% logement affecté au FNAL</t>
  </si>
  <si>
    <t>Transfert de TVA pour couvrir l'effet retour IS sur la mesure des AG</t>
  </si>
  <si>
    <t>Baisse de TICPE affectée à l'AFITF (PLF25)</t>
  </si>
  <si>
    <t>CVAE</t>
  </si>
  <si>
    <t>AutresRFN</t>
  </si>
  <si>
    <t>1726</t>
  </si>
  <si>
    <t>1752</t>
  </si>
  <si>
    <t>1756</t>
  </si>
  <si>
    <t>1706</t>
  </si>
  <si>
    <t>1797</t>
  </si>
  <si>
    <t>LFI/LFSS_2025</t>
  </si>
  <si>
    <t>Autres_2024</t>
  </si>
  <si>
    <t>LFI_2013</t>
  </si>
  <si>
    <t>LFI_2014</t>
  </si>
  <si>
    <t>Remplacement suppression niche GNR</t>
  </si>
  <si>
    <t>PTZ</t>
  </si>
  <si>
    <t>Provision pour stock de vaches</t>
  </si>
  <si>
    <t>Pinel</t>
  </si>
  <si>
    <t>Montée en charge et hausse de taux CICE</t>
  </si>
  <si>
    <t>Mesures de gage industrie verte</t>
  </si>
  <si>
    <t>Hausse de la fiscalité énergétique</t>
  </si>
  <si>
    <t>Bouclier tarifaire TICFE</t>
  </si>
  <si>
    <t/>
  </si>
  <si>
    <t xml:space="preserve">Suppression partielle de la CVAE </t>
  </si>
  <si>
    <t>Lissage de la CVAE</t>
  </si>
  <si>
    <t>Suppression de la redevance audiovisuelle</t>
  </si>
  <si>
    <t>Baisse de la TICGN en miroir de réduction de taux réduit TVA</t>
  </si>
  <si>
    <t>Arrêt du taux réduit de TVA sur les abonnements au gaz</t>
  </si>
  <si>
    <t>Tableau relatif à l'art. 25 de la loi organique 2021-1836 du 28 décembre 2021 relative à la modernisation de la gestion des finances publiques</t>
  </si>
  <si>
    <t>Année d'entrée en vigueur</t>
  </si>
  <si>
    <t>Les mesures ayant une incidence budgétaire inférieure à 50 M€ ne sont pas affichées dans le tableau</t>
  </si>
  <si>
    <t>Renforcement du malus CO2 (ligne 1726)</t>
  </si>
  <si>
    <t>Autres transferts - Collectivités territoriales</t>
  </si>
  <si>
    <t>Autres transferts - Sécurité sociale</t>
  </si>
  <si>
    <t>2 Impôt sur les sociétés net**</t>
  </si>
  <si>
    <t>**Intégrant toutes les lignes 13XX</t>
  </si>
  <si>
    <t>Autres transferts - Organismes divers d'administration centrale</t>
  </si>
  <si>
    <t>Taxe exceptionnelle due par les entreprises du fret maritime</t>
  </si>
  <si>
    <t>Suspension de la baisse de CVAE - effet IS</t>
  </si>
  <si>
    <t xml:space="preserve">Mise en conformité de la TVA sur les chaudières à gaz </t>
  </si>
  <si>
    <t>Malus automobile</t>
  </si>
  <si>
    <t>Fiscalisation des rachats d'actions</t>
  </si>
  <si>
    <t>Reprofilage des allègements généraux- effet retour IS</t>
  </si>
  <si>
    <t>Suppression de niche à l'IR sur les loueurs meublés</t>
  </si>
  <si>
    <t>Transformation de la déduction en faveur des stocks de vaches laitières et allaitantes</t>
  </si>
  <si>
    <t>Contribution différentielle temporaire sur les très hauts revenus</t>
  </si>
  <si>
    <t>Relèvement du plafond de défiscalisation des heures supplémentaires</t>
  </si>
  <si>
    <t>Suppression de la TH - ménages État</t>
  </si>
  <si>
    <t>Fin du transfert de TVA au CCF Audio</t>
  </si>
  <si>
    <t>Hausse des accises sur l'énergie</t>
  </si>
  <si>
    <t>Hausse des accises sur l'énergie - effet retour TVA</t>
  </si>
  <si>
    <t>Autres mesures diverses</t>
  </si>
  <si>
    <t>Contribution différentielle applicable à certains contribuables titulaires de très hauts revenus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</si>
</sst>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 _€_-;\-* #,##0.00\ _€_-;_-* &quot;-&quot;??\ _€_-;_-@_-"/>
    <numFmt numFmtId="165" formatCode="#,##0,,;\-#,##0,,;\-"/>
    <numFmt numFmtId="166" formatCode="\ #,##0.0_);\(#,##0.0\);&quot; - &quot;_);@_)"/>
    <numFmt numFmtId="167" formatCode="\ #,##0_);\(#,##0\);&quot; - &quot;_);@_)"/>
    <numFmt numFmtId="168" formatCode="0.0"/>
  </numFmts>
  <fonts count="19" x14ac:knownFonts="1">
    <font>
      <sz val="11"/>
      <color theme="1"/>
      <name val="Calibri"/>
      <family val="2"/>
      <scheme val="minor"/>
    </font>
    <font>
      <sz val="10"/>
      <name val="Arial Narrow"/>
      <family val="2"/>
    </font>
    <font>
      <sz val="11"/>
      <color theme="1"/>
      <name val="Calibri"/>
      <family val="2"/>
      <scheme val="minor"/>
    </font>
    <font>
      <b/>
      <sz val="10"/>
      <name val="Arial Narrow"/>
      <family val="2"/>
    </font>
    <font>
      <sz val="10"/>
      <color theme="1"/>
      <name val="Arial Narrow"/>
      <family val="2"/>
    </font>
    <font>
      <b/>
      <sz val="10"/>
      <color rgb="FFFFFFFF"/>
      <name val="Arial Narrow"/>
      <family val="2"/>
    </font>
    <font>
      <b/>
      <sz val="10"/>
      <color theme="1"/>
      <name val="Arial Narrow"/>
      <family val="2"/>
    </font>
    <font>
      <i/>
      <sz val="10"/>
      <color theme="1"/>
      <name val="Arial Narrow"/>
      <family val="2"/>
    </font>
    <font>
      <b/>
      <sz val="10"/>
      <color theme="0"/>
      <name val="Arial Narrow"/>
      <family val="2"/>
    </font>
    <font>
      <sz val="10"/>
      <name val="Arial"/>
      <family val="2"/>
    </font>
    <font>
      <b/>
      <sz val="11"/>
      <color theme="1"/>
      <name val="Calibri"/>
      <family val="2"/>
      <scheme val="minor"/>
    </font>
    <font>
      <sz val="11"/>
      <color rgb="FFFFFFFF"/>
      <name val="Calibri"/>
      <family val="2"/>
      <scheme val="minor"/>
    </font>
    <font>
      <b/>
      <sz val="18"/>
      <color theme="1"/>
      <name val="Arial Narrow"/>
      <family val="2"/>
    </font>
    <font>
      <b/>
      <i/>
      <sz val="10"/>
      <color theme="1"/>
      <name val="Arial Narrow"/>
      <family val="2"/>
    </font>
    <font>
      <b/>
      <vertAlign val="superscript"/>
      <sz val="10"/>
      <color theme="1"/>
      <name val="Arial Narrow"/>
      <family val="2"/>
    </font>
    <font>
      <sz val="8"/>
      <name val="Times New Roman"/>
      <family val="1"/>
    </font>
    <font>
      <sz val="11"/>
      <color rgb="FF000000"/>
      <name val="Garamond"/>
      <family val="1"/>
    </font>
    <font>
      <u/>
      <sz val="11"/>
      <color theme="10"/>
      <name val="Calibri"/>
      <family val="2"/>
      <scheme val="minor"/>
    </font>
    <font>
      <sz val="10"/>
      <color rgb="FF000000"/>
      <name val="Arial Narrow"/>
      <family val="2"/>
    </font>
  </fonts>
  <fills count="8">
    <fill>
      <patternFill patternType="none"/>
    </fill>
    <fill>
      <patternFill patternType="gray125"/>
    </fill>
    <fill>
      <patternFill patternType="solid">
        <fgColor rgb="FFF2F2F2"/>
        <bgColor indexed="64"/>
      </patternFill>
    </fill>
    <fill>
      <patternFill patternType="solid">
        <fgColor theme="8" tint="-0.499984740745262"/>
        <bgColor indexed="64"/>
      </patternFill>
    </fill>
    <fill>
      <patternFill patternType="solid">
        <fgColor theme="4" tint="-0.499984740745262"/>
        <bgColor indexed="64"/>
      </patternFill>
    </fill>
    <fill>
      <patternFill patternType="solid">
        <fgColor theme="0"/>
        <bgColor indexed="64"/>
      </patternFill>
    </fill>
    <fill>
      <patternFill patternType="solid">
        <fgColor theme="4" tint="0.79998168889431442"/>
        <bgColor indexed="64"/>
      </patternFill>
    </fill>
    <fill>
      <patternFill patternType="solid">
        <fgColor theme="2"/>
        <bgColor indexed="64"/>
      </patternFill>
    </fill>
  </fills>
  <borders count="45">
    <border>
      <left/>
      <right/>
      <top/>
      <bottom/>
      <diagonal/>
    </border>
    <border>
      <left/>
      <right/>
      <top/>
      <bottom style="thin">
        <color theme="0" tint="-0.499984740745262"/>
      </bottom>
      <diagonal/>
    </border>
    <border>
      <left/>
      <right/>
      <top style="thin">
        <color theme="0" tint="-0.499984740745262"/>
      </top>
      <bottom style="thin">
        <color theme="0" tint="-0.499984740745262"/>
      </bottom>
      <diagonal/>
    </border>
    <border>
      <left/>
      <right style="thick">
        <color rgb="FFFFFFFF"/>
      </right>
      <top style="thick">
        <color rgb="FFFFFFFF"/>
      </top>
      <bottom style="thin">
        <color theme="0" tint="-0.499984740745262"/>
      </bottom>
      <diagonal/>
    </border>
    <border>
      <left/>
      <right/>
      <top style="thick">
        <color rgb="FFFFFFFF"/>
      </top>
      <bottom style="thin">
        <color theme="0" tint="-0.499984740745262"/>
      </bottom>
      <diagonal/>
    </border>
    <border>
      <left style="thick">
        <color rgb="FFFFFFFF"/>
      </left>
      <right/>
      <top style="thick">
        <color rgb="FFFFFFFF"/>
      </top>
      <bottom style="thin">
        <color theme="0" tint="-0.499984740745262"/>
      </bottom>
      <diagonal/>
    </border>
    <border>
      <left style="thick">
        <color rgb="FFFFFFFF"/>
      </left>
      <right/>
      <top/>
      <bottom/>
      <diagonal/>
    </border>
    <border>
      <left/>
      <right style="thick">
        <color rgb="FFFFFFFF"/>
      </right>
      <top/>
      <bottom style="thick">
        <color rgb="FFFFFFFF"/>
      </bottom>
      <diagonal/>
    </border>
    <border>
      <left/>
      <right/>
      <top/>
      <bottom style="thick">
        <color rgb="FFFFFFFF"/>
      </bottom>
      <diagonal/>
    </border>
    <border>
      <left style="thick">
        <color rgb="FFFFFFFF"/>
      </left>
      <right/>
      <top/>
      <bottom style="thick">
        <color rgb="FFFFFFFF"/>
      </bottom>
      <diagonal/>
    </border>
    <border>
      <left/>
      <right style="thick">
        <color rgb="FFFFFFFF"/>
      </right>
      <top/>
      <bottom/>
      <diagonal/>
    </border>
    <border>
      <left/>
      <right/>
      <top style="thin">
        <color theme="0" tint="-0.499984740745262"/>
      </top>
      <bottom/>
      <diagonal/>
    </border>
    <border>
      <left style="medium">
        <color rgb="FFFFFFFF"/>
      </left>
      <right style="thick">
        <color rgb="FFFFFFFF"/>
      </right>
      <top style="medium">
        <color rgb="FFFFFFFF"/>
      </top>
      <bottom/>
      <diagonal/>
    </border>
    <border>
      <left style="medium">
        <color rgb="FFFFFFFF"/>
      </left>
      <right style="medium">
        <color rgb="FFFFFFFF"/>
      </right>
      <top style="medium">
        <color rgb="FFFFFFFF"/>
      </top>
      <bottom/>
      <diagonal/>
    </border>
    <border>
      <left style="thick">
        <color rgb="FFFFFFFF"/>
      </left>
      <right style="medium">
        <color rgb="FFFFFFFF"/>
      </right>
      <top style="medium">
        <color rgb="FFFFFFFF"/>
      </top>
      <bottom/>
      <diagonal/>
    </border>
    <border>
      <left style="thick">
        <color rgb="FFFFFFFF"/>
      </left>
      <right style="thick">
        <color rgb="FFFFFFFF"/>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theme="8" tint="-0.499984740745262"/>
      </left>
      <right/>
      <top style="medium">
        <color theme="8" tint="-0.499984740745262"/>
      </top>
      <bottom style="medium">
        <color theme="8" tint="-0.499984740745262"/>
      </bottom>
      <diagonal/>
    </border>
    <border>
      <left/>
      <right/>
      <top style="medium">
        <color theme="8" tint="-0.499984740745262"/>
      </top>
      <bottom style="medium">
        <color theme="8" tint="-0.499984740745262"/>
      </bottom>
      <diagonal/>
    </border>
    <border>
      <left/>
      <right style="medium">
        <color theme="8" tint="-0.499984740745262"/>
      </right>
      <top style="medium">
        <color theme="8" tint="-0.499984740745262"/>
      </top>
      <bottom style="medium">
        <color theme="8" tint="-0.499984740745262"/>
      </bottom>
      <diagonal/>
    </border>
    <border>
      <left style="medium">
        <color rgb="FFFFE600"/>
      </left>
      <right/>
      <top style="medium">
        <color rgb="FFFFE600"/>
      </top>
      <bottom style="medium">
        <color rgb="FFFFE600"/>
      </bottom>
      <diagonal/>
    </border>
    <border>
      <left/>
      <right/>
      <top style="medium">
        <color rgb="FFFFE600"/>
      </top>
      <bottom style="medium">
        <color rgb="FFFFE600"/>
      </bottom>
      <diagonal/>
    </border>
    <border>
      <left/>
      <right style="medium">
        <color rgb="FFFFE600"/>
      </right>
      <top style="medium">
        <color rgb="FFFFE600"/>
      </top>
      <bottom style="medium">
        <color rgb="FFFFE600"/>
      </bottom>
      <diagonal/>
    </border>
    <border>
      <left/>
      <right style="thin">
        <color indexed="64"/>
      </right>
      <top style="medium">
        <color rgb="FFFFE600"/>
      </top>
      <bottom style="medium">
        <color rgb="FFFFE600"/>
      </bottom>
      <diagonal/>
    </border>
    <border>
      <left style="hair">
        <color auto="1"/>
      </left>
      <right/>
      <top style="medium">
        <color rgb="FFFFE600"/>
      </top>
      <bottom style="medium">
        <color rgb="FFFFE600"/>
      </bottom>
      <diagonal/>
    </border>
    <border>
      <left style="hair">
        <color auto="1"/>
      </left>
      <right/>
      <top/>
      <bottom style="thin">
        <color theme="0" tint="-0.499984740745262"/>
      </bottom>
      <diagonal/>
    </border>
    <border>
      <left/>
      <right style="thin">
        <color auto="1"/>
      </right>
      <top/>
      <bottom style="thin">
        <color theme="0" tint="-0.499984740745262"/>
      </bottom>
      <diagonal/>
    </border>
    <border>
      <left style="hair">
        <color auto="1"/>
      </left>
      <right/>
      <top/>
      <bottom/>
      <diagonal/>
    </border>
    <border>
      <left/>
      <right style="thin">
        <color auto="1"/>
      </right>
      <top/>
      <bottom/>
      <diagonal/>
    </border>
    <border>
      <left style="hair">
        <color auto="1"/>
      </left>
      <right/>
      <top style="thin">
        <color theme="0" tint="-0.499984740745262"/>
      </top>
      <bottom style="thin">
        <color theme="0" tint="-0.499984740745262"/>
      </bottom>
      <diagonal/>
    </border>
    <border>
      <left/>
      <right style="thin">
        <color auto="1"/>
      </right>
      <top style="thin">
        <color theme="0" tint="-0.499984740745262"/>
      </top>
      <bottom style="thin">
        <color theme="0" tint="-0.499984740745262"/>
      </bottom>
      <diagonal/>
    </border>
    <border>
      <left style="hair">
        <color auto="1"/>
      </left>
      <right/>
      <top style="thin">
        <color theme="0" tint="-0.499984740745262"/>
      </top>
      <bottom/>
      <diagonal/>
    </border>
    <border>
      <left/>
      <right style="thin">
        <color auto="1"/>
      </right>
      <top style="thin">
        <color theme="0" tint="-0.499984740745262"/>
      </top>
      <bottom/>
      <diagonal/>
    </border>
    <border>
      <left style="hair">
        <color auto="1"/>
      </left>
      <right style="hair">
        <color auto="1"/>
      </right>
      <top style="hair">
        <color auto="1"/>
      </top>
      <bottom style="thin">
        <color theme="0" tint="-0.499984740745262"/>
      </bottom>
      <diagonal/>
    </border>
    <border>
      <left style="hair">
        <color auto="1"/>
      </left>
      <right style="hair">
        <color auto="1"/>
      </right>
      <top/>
      <bottom style="thin">
        <color theme="0" tint="-0.499984740745262"/>
      </bottom>
      <diagonal/>
    </border>
    <border>
      <left style="hair">
        <color auto="1"/>
      </left>
      <right style="hair">
        <color auto="1"/>
      </right>
      <top style="hair">
        <color auto="1"/>
      </top>
      <bottom style="hair">
        <color auto="1"/>
      </bottom>
      <diagonal/>
    </border>
    <border>
      <left style="hair">
        <color auto="1"/>
      </left>
      <right style="hair">
        <color auto="1"/>
      </right>
      <top style="thin">
        <color theme="0" tint="-0.499984740745262"/>
      </top>
      <bottom style="hair">
        <color auto="1"/>
      </bottom>
      <diagonal/>
    </border>
    <border>
      <left style="thick">
        <color rgb="FFFFFFFF"/>
      </left>
      <right/>
      <top/>
      <bottom style="medium">
        <color rgb="FFFFE600"/>
      </bottom>
      <diagonal/>
    </border>
    <border>
      <left/>
      <right style="thick">
        <color rgb="FFFFFFFF"/>
      </right>
      <top/>
      <bottom style="medium">
        <color rgb="FFFFE600"/>
      </bottom>
      <diagonal/>
    </border>
    <border>
      <left style="hair">
        <color auto="1"/>
      </left>
      <right style="hair">
        <color auto="1"/>
      </right>
      <top style="hair">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s>
  <cellStyleXfs count="6">
    <xf numFmtId="0" fontId="0" fillId="0" borderId="0"/>
    <xf numFmtId="0" fontId="1" fillId="0" borderId="0"/>
    <xf numFmtId="0" fontId="1" fillId="0" borderId="0"/>
    <xf numFmtId="0" fontId="9" fillId="0" borderId="0"/>
    <xf numFmtId="164" fontId="2" fillId="0" borderId="0" applyFont="0" applyFill="0" applyBorder="0" applyAlignment="0" applyProtection="0"/>
    <xf numFmtId="0" fontId="17" fillId="0" borderId="0" applyNumberFormat="0" applyFill="0" applyBorder="0" applyAlignment="0" applyProtection="0"/>
  </cellStyleXfs>
  <cellXfs count="183">
    <xf numFmtId="0" fontId="0" fillId="0" borderId="0" xfId="0"/>
    <xf numFmtId="0" fontId="0" fillId="0" borderId="0" xfId="0" applyFill="1"/>
    <xf numFmtId="0" fontId="0" fillId="0" borderId="0" xfId="0" applyAlignment="1">
      <alignment horizontal="center" vertical="center"/>
    </xf>
    <xf numFmtId="0" fontId="4" fillId="0" borderId="0" xfId="0" applyNumberFormat="1" applyFont="1" applyAlignment="1">
      <alignment horizontal="left"/>
    </xf>
    <xf numFmtId="0" fontId="4" fillId="0" borderId="0" xfId="0" applyNumberFormat="1" applyFont="1" applyAlignment="1">
      <alignment horizontal="left" vertical="center"/>
    </xf>
    <xf numFmtId="0" fontId="6" fillId="0" borderId="0" xfId="0" applyNumberFormat="1" applyFont="1" applyAlignment="1">
      <alignment horizontal="left" vertical="center"/>
    </xf>
    <xf numFmtId="166" fontId="7" fillId="0" borderId="0" xfId="0" applyNumberFormat="1" applyFont="1" applyAlignment="1">
      <alignment horizontal="right"/>
    </xf>
    <xf numFmtId="0" fontId="7" fillId="0" borderId="0" xfId="0" applyNumberFormat="1" applyFont="1" applyAlignment="1">
      <alignment horizontal="left"/>
    </xf>
    <xf numFmtId="0" fontId="12" fillId="0" borderId="0" xfId="0" applyNumberFormat="1" applyFont="1" applyAlignment="1">
      <alignment horizontal="left"/>
    </xf>
    <xf numFmtId="0" fontId="4" fillId="0" borderId="1" xfId="0" applyNumberFormat="1" applyFont="1" applyBorder="1" applyAlignment="1">
      <alignment horizontal="left" vertical="center"/>
    </xf>
    <xf numFmtId="0" fontId="6" fillId="0" borderId="0" xfId="0" applyNumberFormat="1" applyFont="1" applyBorder="1" applyAlignment="1">
      <alignment horizontal="left" vertical="center"/>
    </xf>
    <xf numFmtId="0" fontId="4" fillId="0" borderId="0" xfId="0" applyNumberFormat="1" applyFont="1" applyBorder="1" applyAlignment="1">
      <alignment horizontal="left" vertical="center"/>
    </xf>
    <xf numFmtId="0" fontId="7" fillId="0" borderId="0" xfId="0" applyNumberFormat="1" applyFont="1" applyBorder="1" applyAlignment="1">
      <alignment horizontal="left"/>
    </xf>
    <xf numFmtId="0" fontId="4" fillId="0" borderId="0" xfId="0" applyNumberFormat="1" applyFont="1" applyBorder="1" applyAlignment="1">
      <alignment horizontal="left" wrapText="1"/>
    </xf>
    <xf numFmtId="0" fontId="6" fillId="0" borderId="11" xfId="0" applyNumberFormat="1" applyFont="1" applyBorder="1" applyAlignment="1">
      <alignment horizontal="left" vertical="center"/>
    </xf>
    <xf numFmtId="165" fontId="6" fillId="0" borderId="11" xfId="4" applyNumberFormat="1" applyFont="1" applyFill="1" applyBorder="1" applyAlignment="1" applyProtection="1">
      <alignment horizontal="center" vertical="center" wrapText="1"/>
    </xf>
    <xf numFmtId="165" fontId="4" fillId="0" borderId="0" xfId="4" applyNumberFormat="1" applyFont="1" applyFill="1" applyBorder="1" applyAlignment="1" applyProtection="1">
      <alignment horizontal="center" vertical="center" wrapText="1"/>
    </xf>
    <xf numFmtId="165" fontId="6" fillId="0" borderId="0" xfId="4" applyNumberFormat="1" applyFont="1" applyFill="1" applyBorder="1" applyAlignment="1" applyProtection="1">
      <alignment horizontal="center" vertical="center" wrapText="1"/>
    </xf>
    <xf numFmtId="0" fontId="10" fillId="0" borderId="0" xfId="0" applyFont="1"/>
    <xf numFmtId="165" fontId="4" fillId="0" borderId="1" xfId="4" applyNumberFormat="1" applyFont="1" applyFill="1" applyBorder="1" applyAlignment="1" applyProtection="1">
      <alignment horizontal="center" vertical="center" wrapText="1"/>
    </xf>
    <xf numFmtId="165" fontId="6" fillId="2" borderId="2" xfId="4" applyNumberFormat="1" applyFont="1" applyFill="1" applyBorder="1" applyAlignment="1" applyProtection="1">
      <alignment horizontal="center" vertical="center" wrapText="1"/>
    </xf>
    <xf numFmtId="165" fontId="6" fillId="2" borderId="17" xfId="4" applyNumberFormat="1" applyFont="1" applyFill="1" applyBorder="1" applyAlignment="1" applyProtection="1">
      <alignment horizontal="center" vertical="center" wrapText="1"/>
    </xf>
    <xf numFmtId="0" fontId="5" fillId="3" borderId="9" xfId="0" applyNumberFormat="1" applyFont="1" applyFill="1" applyBorder="1" applyAlignment="1">
      <alignment horizontal="centerContinuous" vertical="center"/>
    </xf>
    <xf numFmtId="0" fontId="11" fillId="3" borderId="8" xfId="0" applyFont="1" applyFill="1" applyBorder="1" applyAlignment="1">
      <alignment horizontal="centerContinuous" vertical="center"/>
    </xf>
    <xf numFmtId="0" fontId="11" fillId="3" borderId="7" xfId="0" applyFont="1" applyFill="1" applyBorder="1" applyAlignment="1">
      <alignment horizontal="centerContinuous" vertical="center"/>
    </xf>
    <xf numFmtId="0" fontId="5" fillId="3" borderId="5" xfId="0" applyNumberFormat="1" applyFont="1" applyFill="1" applyBorder="1" applyAlignment="1">
      <alignment horizontal="center" vertical="center" wrapText="1"/>
    </xf>
    <xf numFmtId="0" fontId="5" fillId="3" borderId="4" xfId="0" applyNumberFormat="1" applyFont="1" applyFill="1" applyBorder="1" applyAlignment="1">
      <alignment horizontal="center" vertical="center" wrapText="1"/>
    </xf>
    <xf numFmtId="0" fontId="5" fillId="3" borderId="3" xfId="0" applyNumberFormat="1" applyFont="1" applyFill="1" applyBorder="1" applyAlignment="1">
      <alignment horizontal="center" vertical="center" wrapText="1"/>
    </xf>
    <xf numFmtId="0" fontId="5" fillId="3" borderId="0" xfId="0" applyNumberFormat="1" applyFont="1" applyFill="1" applyBorder="1" applyAlignment="1">
      <alignment horizontal="centerContinuous" vertical="center" wrapText="1"/>
    </xf>
    <xf numFmtId="0" fontId="5" fillId="3" borderId="14" xfId="0" applyNumberFormat="1" applyFont="1" applyFill="1" applyBorder="1" applyAlignment="1">
      <alignment horizontal="centerContinuous" vertical="center" wrapText="1"/>
    </xf>
    <xf numFmtId="0" fontId="5" fillId="3" borderId="13" xfId="0" applyNumberFormat="1" applyFont="1" applyFill="1" applyBorder="1" applyAlignment="1">
      <alignment horizontal="centerContinuous" vertical="center" wrapText="1"/>
    </xf>
    <xf numFmtId="0" fontId="5" fillId="3" borderId="12" xfId="0" applyNumberFormat="1" applyFont="1" applyFill="1" applyBorder="1" applyAlignment="1">
      <alignment horizontal="centerContinuous" vertical="center" wrapText="1"/>
    </xf>
    <xf numFmtId="0" fontId="6" fillId="2" borderId="19" xfId="0" applyNumberFormat="1" applyFont="1" applyFill="1" applyBorder="1" applyAlignment="1">
      <alignment horizontal="left" vertical="center"/>
    </xf>
    <xf numFmtId="0" fontId="4" fillId="0" borderId="0" xfId="0" applyNumberFormat="1" applyFont="1" applyBorder="1" applyAlignment="1">
      <alignment horizontal="left" vertical="center" wrapText="1"/>
    </xf>
    <xf numFmtId="0" fontId="4" fillId="0" borderId="0" xfId="0" applyNumberFormat="1" applyFont="1" applyFill="1" applyAlignment="1">
      <alignment horizontal="left" vertical="center"/>
    </xf>
    <xf numFmtId="165" fontId="4" fillId="0" borderId="11" xfId="4" applyNumberFormat="1" applyFont="1" applyFill="1" applyBorder="1" applyAlignment="1" applyProtection="1">
      <alignment horizontal="center" vertical="center" wrapText="1"/>
    </xf>
    <xf numFmtId="0" fontId="6" fillId="2" borderId="20" xfId="0" applyNumberFormat="1" applyFont="1" applyFill="1" applyBorder="1" applyAlignment="1">
      <alignment horizontal="left" vertical="center"/>
    </xf>
    <xf numFmtId="165" fontId="6" fillId="2" borderId="20" xfId="4" applyNumberFormat="1" applyFont="1" applyFill="1" applyBorder="1" applyAlignment="1" applyProtection="1">
      <alignment horizontal="center" vertical="center" wrapText="1"/>
    </xf>
    <xf numFmtId="165" fontId="6" fillId="2" borderId="21" xfId="4" applyNumberFormat="1" applyFont="1" applyFill="1" applyBorder="1" applyAlignment="1" applyProtection="1">
      <alignment horizontal="center" vertical="center" wrapText="1"/>
    </xf>
    <xf numFmtId="0" fontId="4" fillId="0" borderId="11" xfId="0" applyNumberFormat="1" applyFont="1" applyBorder="1" applyAlignment="1">
      <alignment horizontal="left" vertical="center"/>
    </xf>
    <xf numFmtId="0" fontId="6" fillId="2" borderId="2" xfId="0" applyNumberFormat="1" applyFont="1" applyFill="1" applyBorder="1" applyAlignment="1">
      <alignment horizontal="left" vertical="center"/>
    </xf>
    <xf numFmtId="0" fontId="6" fillId="2" borderId="11" xfId="0" applyNumberFormat="1" applyFont="1" applyFill="1" applyBorder="1" applyAlignment="1">
      <alignment horizontal="left" vertical="center"/>
    </xf>
    <xf numFmtId="165" fontId="6" fillId="2" borderId="11" xfId="4" applyNumberFormat="1" applyFont="1" applyFill="1" applyBorder="1" applyAlignment="1" applyProtection="1">
      <alignment horizontal="center" vertical="center" wrapText="1"/>
    </xf>
    <xf numFmtId="0" fontId="6" fillId="0" borderId="0" xfId="0" applyNumberFormat="1" applyFont="1" applyFill="1" applyBorder="1" applyAlignment="1">
      <alignment horizontal="left" vertical="center"/>
    </xf>
    <xf numFmtId="0" fontId="6" fillId="2" borderId="16" xfId="0" applyNumberFormat="1" applyFont="1" applyFill="1" applyBorder="1" applyAlignment="1">
      <alignment horizontal="left" vertical="center"/>
    </xf>
    <xf numFmtId="0" fontId="7" fillId="0" borderId="0" xfId="0" applyNumberFormat="1" applyFont="1" applyAlignment="1">
      <alignment horizontal="left" vertical="center"/>
    </xf>
    <xf numFmtId="166" fontId="4" fillId="0" borderId="0" xfId="0" applyNumberFormat="1" applyFont="1" applyAlignment="1">
      <alignment horizontal="right"/>
    </xf>
    <xf numFmtId="0" fontId="4" fillId="0" borderId="11" xfId="0" applyNumberFormat="1" applyFont="1" applyBorder="1" applyAlignment="1">
      <alignment horizontal="left"/>
    </xf>
    <xf numFmtId="0" fontId="4" fillId="0" borderId="0" xfId="0" applyNumberFormat="1" applyFont="1" applyBorder="1" applyAlignment="1">
      <alignment horizontal="left"/>
    </xf>
    <xf numFmtId="0" fontId="6" fillId="2" borderId="1" xfId="0" applyNumberFormat="1" applyFont="1" applyFill="1" applyBorder="1" applyAlignment="1">
      <alignment horizontal="left"/>
    </xf>
    <xf numFmtId="165" fontId="6" fillId="2" borderId="1" xfId="4" applyNumberFormat="1" applyFont="1" applyFill="1" applyBorder="1" applyAlignment="1" applyProtection="1">
      <alignment horizontal="center" vertical="center" wrapText="1"/>
    </xf>
    <xf numFmtId="0" fontId="0" fillId="0" borderId="0" xfId="0" applyBorder="1"/>
    <xf numFmtId="165" fontId="6" fillId="2" borderId="23" xfId="4" applyNumberFormat="1" applyFont="1" applyFill="1" applyBorder="1" applyAlignment="1" applyProtection="1">
      <alignment horizontal="center" vertical="center" wrapText="1"/>
    </xf>
    <xf numFmtId="165" fontId="6" fillId="2" borderId="24" xfId="4" applyNumberFormat="1" applyFont="1" applyFill="1" applyBorder="1" applyAlignment="1" applyProtection="1">
      <alignment horizontal="center" vertical="center" wrapText="1"/>
    </xf>
    <xf numFmtId="0" fontId="10" fillId="2" borderId="1" xfId="0" applyFont="1" applyFill="1" applyBorder="1"/>
    <xf numFmtId="0" fontId="6" fillId="2" borderId="22" xfId="0" applyNumberFormat="1" applyFont="1" applyFill="1" applyBorder="1" applyAlignment="1">
      <alignment horizontal="left"/>
    </xf>
    <xf numFmtId="0" fontId="10" fillId="2" borderId="23" xfId="0" applyFont="1" applyFill="1" applyBorder="1"/>
    <xf numFmtId="165" fontId="6" fillId="2" borderId="27" xfId="4" applyNumberFormat="1" applyFont="1" applyFill="1" applyBorder="1" applyAlignment="1" applyProtection="1">
      <alignment horizontal="center" vertical="center" wrapText="1"/>
    </xf>
    <xf numFmtId="165" fontId="6" fillId="2" borderId="28" xfId="4" applyNumberFormat="1" applyFont="1" applyFill="1" applyBorder="1" applyAlignment="1" applyProtection="1">
      <alignment horizontal="center" vertical="center" wrapText="1"/>
    </xf>
    <xf numFmtId="165" fontId="4" fillId="0" borderId="29" xfId="4" applyNumberFormat="1" applyFont="1" applyFill="1" applyBorder="1" applyAlignment="1" applyProtection="1">
      <alignment horizontal="center" vertical="center" wrapText="1"/>
    </xf>
    <xf numFmtId="165" fontId="4" fillId="0" borderId="30" xfId="4" applyNumberFormat="1" applyFont="1" applyFill="1" applyBorder="1" applyAlignment="1" applyProtection="1">
      <alignment horizontal="center" vertical="center" wrapText="1"/>
    </xf>
    <xf numFmtId="165" fontId="6" fillId="2" borderId="22" xfId="4" applyNumberFormat="1" applyFont="1" applyFill="1" applyBorder="1" applyAlignment="1" applyProtection="1">
      <alignment horizontal="center" vertical="center" wrapText="1"/>
    </xf>
    <xf numFmtId="165" fontId="6" fillId="2" borderId="26" xfId="4" applyNumberFormat="1" applyFont="1" applyFill="1" applyBorder="1" applyAlignment="1" applyProtection="1">
      <alignment horizontal="center" vertical="center" wrapText="1"/>
    </xf>
    <xf numFmtId="165" fontId="6" fillId="2" borderId="25" xfId="4" applyNumberFormat="1" applyFont="1" applyFill="1" applyBorder="1" applyAlignment="1" applyProtection="1">
      <alignment horizontal="center" vertical="center" wrapText="1"/>
    </xf>
    <xf numFmtId="165" fontId="4" fillId="0" borderId="33" xfId="4" applyNumberFormat="1" applyFont="1" applyFill="1" applyBorder="1" applyAlignment="1" applyProtection="1">
      <alignment horizontal="center" vertical="center" wrapText="1"/>
    </xf>
    <xf numFmtId="165" fontId="4" fillId="0" borderId="34" xfId="4" applyNumberFormat="1" applyFont="1" applyFill="1" applyBorder="1" applyAlignment="1" applyProtection="1">
      <alignment horizontal="center" vertical="center" wrapText="1"/>
    </xf>
    <xf numFmtId="0" fontId="6" fillId="2" borderId="11" xfId="0" applyNumberFormat="1" applyFont="1" applyFill="1" applyBorder="1" applyAlignment="1">
      <alignment horizontal="left"/>
    </xf>
    <xf numFmtId="0" fontId="10" fillId="2" borderId="11" xfId="0" applyFont="1" applyFill="1" applyBorder="1"/>
    <xf numFmtId="165" fontId="6" fillId="2" borderId="33" xfId="4" applyNumberFormat="1" applyFont="1" applyFill="1" applyBorder="1" applyAlignment="1" applyProtection="1">
      <alignment horizontal="center" vertical="center" wrapText="1"/>
    </xf>
    <xf numFmtId="165" fontId="6" fillId="2" borderId="34" xfId="4" applyNumberFormat="1" applyFont="1" applyFill="1" applyBorder="1" applyAlignment="1" applyProtection="1">
      <alignment horizontal="center" vertical="center" wrapText="1"/>
    </xf>
    <xf numFmtId="0" fontId="6" fillId="0" borderId="1" xfId="0" applyNumberFormat="1" applyFont="1" applyBorder="1" applyAlignment="1">
      <alignment horizontal="left" vertical="center"/>
    </xf>
    <xf numFmtId="165" fontId="4" fillId="0" borderId="27" xfId="4" applyNumberFormat="1" applyFont="1" applyFill="1" applyBorder="1" applyAlignment="1" applyProtection="1">
      <alignment horizontal="center" vertical="center" wrapText="1"/>
    </xf>
    <xf numFmtId="165" fontId="4" fillId="0" borderId="28" xfId="4" applyNumberFormat="1" applyFont="1" applyFill="1" applyBorder="1" applyAlignment="1" applyProtection="1">
      <alignment horizontal="center" vertical="center" wrapText="1"/>
    </xf>
    <xf numFmtId="0" fontId="5" fillId="3" borderId="0" xfId="0" applyNumberFormat="1" applyFont="1" applyFill="1" applyBorder="1" applyAlignment="1">
      <alignment horizontal="left" vertical="center" wrapText="1"/>
    </xf>
    <xf numFmtId="0" fontId="5" fillId="3" borderId="6" xfId="0" applyNumberFormat="1" applyFont="1" applyFill="1" applyBorder="1" applyAlignment="1">
      <alignment horizontal="left" vertical="center" wrapText="1"/>
    </xf>
    <xf numFmtId="165" fontId="4" fillId="0" borderId="0" xfId="0" applyNumberFormat="1" applyFont="1" applyBorder="1" applyAlignment="1">
      <alignment horizontal="left" wrapText="1"/>
    </xf>
    <xf numFmtId="0" fontId="4" fillId="0" borderId="11" xfId="0" applyNumberFormat="1" applyFont="1" applyBorder="1" applyAlignment="1">
      <alignment horizontal="left" wrapText="1"/>
    </xf>
    <xf numFmtId="0" fontId="4" fillId="0" borderId="0" xfId="0" applyFont="1" applyAlignment="1">
      <alignment horizontal="left" wrapText="1"/>
    </xf>
    <xf numFmtId="0" fontId="4" fillId="0" borderId="0" xfId="0" applyFont="1" applyAlignment="1">
      <alignment horizontal="left"/>
    </xf>
    <xf numFmtId="0" fontId="7" fillId="0" borderId="0" xfId="0" applyFont="1" applyAlignment="1">
      <alignment horizontal="left"/>
    </xf>
    <xf numFmtId="0" fontId="4" fillId="0" borderId="1" xfId="0" applyFont="1" applyBorder="1" applyAlignment="1">
      <alignment horizontal="left" vertical="center"/>
    </xf>
    <xf numFmtId="0" fontId="1" fillId="0" borderId="0" xfId="0" applyFont="1" applyAlignment="1">
      <alignment vertical="center" wrapText="1"/>
    </xf>
    <xf numFmtId="0" fontId="1" fillId="0" borderId="0" xfId="0" applyFont="1" applyAlignment="1">
      <alignment horizontal="left" vertical="center"/>
    </xf>
    <xf numFmtId="0" fontId="6" fillId="2" borderId="2" xfId="0" applyFont="1" applyFill="1" applyBorder="1" applyAlignment="1">
      <alignment horizontal="left" vertical="center"/>
    </xf>
    <xf numFmtId="0" fontId="4" fillId="0" borderId="0" xfId="0" applyFont="1" applyAlignment="1">
      <alignment horizontal="left" vertical="center"/>
    </xf>
    <xf numFmtId="0" fontId="1" fillId="0" borderId="11" xfId="0" applyFont="1" applyBorder="1" applyAlignment="1">
      <alignment vertical="center" wrapText="1"/>
    </xf>
    <xf numFmtId="0" fontId="1" fillId="0" borderId="11" xfId="0" applyFont="1" applyBorder="1" applyAlignment="1">
      <alignment horizontal="left" vertical="center"/>
    </xf>
    <xf numFmtId="0" fontId="6" fillId="2" borderId="11" xfId="0" applyFont="1" applyFill="1" applyBorder="1" applyAlignment="1">
      <alignment horizontal="left" vertical="center"/>
    </xf>
    <xf numFmtId="165" fontId="0" fillId="0" borderId="0" xfId="0" applyNumberFormat="1"/>
    <xf numFmtId="0" fontId="6" fillId="0" borderId="0" xfId="0" applyFont="1" applyAlignment="1">
      <alignment horizontal="left" vertical="center"/>
    </xf>
    <xf numFmtId="0" fontId="6" fillId="2" borderId="20" xfId="0" applyFont="1" applyFill="1" applyBorder="1" applyAlignment="1">
      <alignment horizontal="left" vertical="center"/>
    </xf>
    <xf numFmtId="0" fontId="6" fillId="2" borderId="19" xfId="0" applyFont="1" applyFill="1" applyBorder="1" applyAlignment="1">
      <alignment horizontal="left" vertical="center"/>
    </xf>
    <xf numFmtId="0" fontId="5" fillId="3" borderId="12" xfId="0" applyFont="1" applyFill="1" applyBorder="1" applyAlignment="1">
      <alignment horizontal="centerContinuous" vertical="center" wrapText="1"/>
    </xf>
    <xf numFmtId="0" fontId="5" fillId="3" borderId="13" xfId="0" applyFont="1" applyFill="1" applyBorder="1" applyAlignment="1">
      <alignment horizontal="centerContinuous" vertical="center" wrapText="1"/>
    </xf>
    <xf numFmtId="0" fontId="5" fillId="3" borderId="14" xfId="0" applyFont="1" applyFill="1" applyBorder="1" applyAlignment="1">
      <alignment horizontal="centerContinuous" vertical="center" wrapText="1"/>
    </xf>
    <xf numFmtId="0" fontId="5" fillId="3" borderId="0" xfId="0" applyFont="1" applyFill="1" applyAlignment="1">
      <alignment horizontal="centerContinuous" vertical="center" wrapText="1"/>
    </xf>
    <xf numFmtId="165" fontId="13" fillId="0" borderId="0" xfId="0" applyNumberFormat="1" applyFont="1" applyAlignment="1">
      <alignment horizontal="left" wrapText="1"/>
    </xf>
    <xf numFmtId="0" fontId="13" fillId="0" borderId="0" xfId="0" applyFont="1" applyAlignment="1">
      <alignment horizontal="left"/>
    </xf>
    <xf numFmtId="0" fontId="12" fillId="0" borderId="0" xfId="0" applyFont="1" applyAlignment="1">
      <alignment horizontal="left"/>
    </xf>
    <xf numFmtId="0" fontId="5" fillId="3"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vertical="center"/>
    </xf>
    <xf numFmtId="167" fontId="4" fillId="0" borderId="0" xfId="0" applyNumberFormat="1" applyFont="1" applyAlignment="1">
      <alignment horizontal="right"/>
    </xf>
    <xf numFmtId="0" fontId="1" fillId="0" borderId="0" xfId="0" quotePrefix="1" applyFont="1" applyAlignment="1" applyProtection="1">
      <alignment horizontal="left" vertical="center" wrapText="1"/>
      <protection locked="0"/>
    </xf>
    <xf numFmtId="0" fontId="15" fillId="0" borderId="0" xfId="0" applyFont="1"/>
    <xf numFmtId="0" fontId="8" fillId="4" borderId="0" xfId="0" applyFont="1" applyFill="1" applyAlignment="1">
      <alignment horizontal="centerContinuous" vertical="center"/>
    </xf>
    <xf numFmtId="0" fontId="6" fillId="2" borderId="23" xfId="0" applyNumberFormat="1" applyFont="1" applyFill="1" applyBorder="1" applyAlignment="1">
      <alignment horizontal="left"/>
    </xf>
    <xf numFmtId="166" fontId="4" fillId="0" borderId="0" xfId="0" applyNumberFormat="1" applyFont="1" applyBorder="1" applyAlignment="1">
      <alignment horizontal="right" wrapText="1"/>
    </xf>
    <xf numFmtId="0" fontId="0" fillId="0" borderId="0" xfId="0" applyAlignment="1">
      <alignment horizontal="left"/>
    </xf>
    <xf numFmtId="0" fontId="10" fillId="0" borderId="0" xfId="0" applyFont="1" applyAlignment="1">
      <alignment horizontal="left"/>
    </xf>
    <xf numFmtId="0" fontId="4" fillId="0" borderId="0" xfId="0" applyNumberFormat="1" applyFont="1" applyAlignment="1">
      <alignment horizontal="right"/>
    </xf>
    <xf numFmtId="165" fontId="6" fillId="0" borderId="2" xfId="4" applyNumberFormat="1" applyFont="1" applyFill="1" applyBorder="1" applyAlignment="1" applyProtection="1">
      <alignment horizontal="center" vertical="center" wrapText="1"/>
    </xf>
    <xf numFmtId="0" fontId="0" fillId="0" borderId="0" xfId="0"/>
    <xf numFmtId="0" fontId="6" fillId="0" borderId="11" xfId="0" applyNumberFormat="1" applyFont="1" applyFill="1" applyBorder="1" applyAlignment="1">
      <alignment horizontal="left" vertical="center"/>
    </xf>
    <xf numFmtId="0" fontId="4" fillId="0" borderId="11" xfId="0" applyNumberFormat="1" applyFont="1" applyFill="1" applyBorder="1" applyAlignment="1">
      <alignment horizontal="left" vertical="center"/>
    </xf>
    <xf numFmtId="0" fontId="6" fillId="0" borderId="2" xfId="0" applyNumberFormat="1" applyFont="1" applyFill="1" applyBorder="1" applyAlignment="1">
      <alignment horizontal="left"/>
    </xf>
    <xf numFmtId="0" fontId="10" fillId="0" borderId="2" xfId="0" applyFont="1" applyFill="1" applyBorder="1"/>
    <xf numFmtId="165" fontId="6" fillId="0" borderId="31" xfId="4" applyNumberFormat="1" applyFont="1" applyFill="1" applyBorder="1" applyAlignment="1" applyProtection="1">
      <alignment horizontal="center" vertical="center" wrapText="1"/>
    </xf>
    <xf numFmtId="165" fontId="6" fillId="0" borderId="32" xfId="4" applyNumberFormat="1" applyFont="1" applyFill="1" applyBorder="1" applyAlignment="1" applyProtection="1">
      <alignment horizontal="center" vertical="center" wrapText="1"/>
    </xf>
    <xf numFmtId="0" fontId="0" fillId="0" borderId="0" xfId="0" applyFill="1" applyAlignment="1">
      <alignment horizontal="center" vertical="center"/>
    </xf>
    <xf numFmtId="0" fontId="1" fillId="5" borderId="0" xfId="0" applyFont="1" applyFill="1" applyBorder="1" applyAlignment="1" applyProtection="1">
      <alignment horizontal="left" vertical="center" wrapText="1"/>
      <protection locked="0"/>
    </xf>
    <xf numFmtId="0" fontId="1" fillId="5" borderId="0" xfId="0" quotePrefix="1" applyFont="1" applyFill="1" applyBorder="1" applyAlignment="1" applyProtection="1">
      <alignment horizontal="left" vertical="center" wrapText="1"/>
      <protection locked="0"/>
    </xf>
    <xf numFmtId="165" fontId="4" fillId="5" borderId="0" xfId="4" applyNumberFormat="1" applyFont="1" applyFill="1" applyBorder="1" applyAlignment="1" applyProtection="1">
      <alignment horizontal="center" vertical="center" wrapText="1"/>
    </xf>
    <xf numFmtId="0" fontId="0" fillId="0" borderId="0" xfId="0"/>
    <xf numFmtId="0" fontId="4" fillId="0" borderId="0" xfId="0" applyNumberFormat="1" applyFont="1" applyBorder="1" applyAlignment="1">
      <alignment horizontal="left" vertical="center"/>
    </xf>
    <xf numFmtId="165" fontId="6" fillId="0" borderId="11" xfId="4" applyNumberFormat="1" applyFont="1" applyFill="1" applyBorder="1" applyAlignment="1" applyProtection="1">
      <alignment horizontal="center" vertical="center" wrapText="1"/>
    </xf>
    <xf numFmtId="165" fontId="4" fillId="0" borderId="0" xfId="4" applyNumberFormat="1" applyFont="1" applyFill="1" applyBorder="1" applyAlignment="1" applyProtection="1">
      <alignment horizontal="center" vertical="center" wrapText="1"/>
    </xf>
    <xf numFmtId="165" fontId="6" fillId="0" borderId="0" xfId="4" applyNumberFormat="1" applyFont="1" applyFill="1" applyBorder="1" applyAlignment="1" applyProtection="1">
      <alignment horizontal="center" vertical="center" wrapText="1"/>
    </xf>
    <xf numFmtId="165" fontId="4" fillId="0" borderId="1" xfId="4" applyNumberFormat="1" applyFont="1" applyFill="1" applyBorder="1" applyAlignment="1" applyProtection="1">
      <alignment horizontal="center" vertical="center" wrapText="1"/>
    </xf>
    <xf numFmtId="165" fontId="4" fillId="0" borderId="11" xfId="4" applyNumberFormat="1" applyFont="1" applyFill="1" applyBorder="1" applyAlignment="1" applyProtection="1">
      <alignment horizontal="center" vertical="center" wrapText="1"/>
    </xf>
    <xf numFmtId="165" fontId="6" fillId="2" borderId="11" xfId="4" applyNumberFormat="1" applyFont="1" applyFill="1" applyBorder="1" applyAlignment="1" applyProtection="1">
      <alignment horizontal="center" vertical="center" wrapText="1"/>
    </xf>
    <xf numFmtId="0" fontId="4" fillId="0" borderId="0" xfId="0" applyFont="1" applyAlignment="1">
      <alignment horizontal="left" wrapText="1"/>
    </xf>
    <xf numFmtId="0" fontId="4" fillId="0" borderId="0" xfId="0" applyFont="1" applyAlignment="1">
      <alignment horizontal="left"/>
    </xf>
    <xf numFmtId="0" fontId="12" fillId="0" borderId="0" xfId="0" applyFont="1" applyAlignment="1">
      <alignment horizontal="left"/>
    </xf>
    <xf numFmtId="167" fontId="4" fillId="0" borderId="0" xfId="0" applyNumberFormat="1" applyFont="1" applyAlignment="1">
      <alignment horizontal="right"/>
    </xf>
    <xf numFmtId="0" fontId="1" fillId="0" borderId="0" xfId="0" quotePrefix="1" applyFont="1" applyAlignment="1" applyProtection="1">
      <alignment horizontal="left" vertical="center" wrapText="1"/>
      <protection locked="0"/>
    </xf>
    <xf numFmtId="0" fontId="8" fillId="4" borderId="0" xfId="0" applyFont="1" applyFill="1" applyAlignment="1">
      <alignment horizontal="centerContinuous" vertical="center"/>
    </xf>
    <xf numFmtId="0" fontId="1" fillId="0" borderId="0" xfId="0" applyFont="1" applyFill="1" applyBorder="1" applyAlignment="1" applyProtection="1">
      <alignment horizontal="left" vertical="center" wrapText="1"/>
      <protection locked="0"/>
    </xf>
    <xf numFmtId="0" fontId="4" fillId="5" borderId="0" xfId="0" applyFont="1" applyFill="1" applyAlignment="1">
      <alignment horizontal="left"/>
    </xf>
    <xf numFmtId="0" fontId="1" fillId="5" borderId="37" xfId="0" applyFont="1" applyFill="1" applyBorder="1" applyAlignment="1" applyProtection="1">
      <alignment horizontal="left" vertical="center" wrapText="1"/>
      <protection locked="0"/>
    </xf>
    <xf numFmtId="165" fontId="4" fillId="5" borderId="37" xfId="4" applyNumberFormat="1" applyFont="1" applyFill="1" applyBorder="1" applyAlignment="1" applyProtection="1">
      <alignment horizontal="center" vertical="center" wrapText="1"/>
    </xf>
    <xf numFmtId="0" fontId="0" fillId="5" borderId="0" xfId="0" applyFill="1"/>
    <xf numFmtId="0" fontId="1" fillId="5" borderId="36" xfId="0" quotePrefix="1" applyFont="1" applyFill="1" applyBorder="1" applyAlignment="1" applyProtection="1">
      <alignment horizontal="left" vertical="center" wrapText="1"/>
      <protection locked="0"/>
    </xf>
    <xf numFmtId="167" fontId="0" fillId="5" borderId="0" xfId="0" applyNumberFormat="1" applyFill="1"/>
    <xf numFmtId="0" fontId="3" fillId="5" borderId="0" xfId="0" quotePrefix="1" applyFont="1" applyFill="1" applyBorder="1" applyAlignment="1" applyProtection="1">
      <alignment horizontal="left" vertical="center" wrapText="1"/>
      <protection locked="0"/>
    </xf>
    <xf numFmtId="0" fontId="3" fillId="5" borderId="0" xfId="0" applyFont="1" applyFill="1" applyBorder="1" applyAlignment="1" applyProtection="1">
      <alignment horizontal="left" vertical="center" wrapText="1"/>
      <protection locked="0"/>
    </xf>
    <xf numFmtId="165" fontId="6" fillId="5" borderId="0" xfId="4" applyNumberFormat="1" applyFont="1" applyFill="1" applyBorder="1" applyAlignment="1" applyProtection="1">
      <alignment horizontal="center" vertical="center" wrapText="1"/>
    </xf>
    <xf numFmtId="1" fontId="0" fillId="0" borderId="0" xfId="0" applyNumberFormat="1"/>
    <xf numFmtId="165" fontId="4" fillId="5" borderId="11" xfId="4" applyNumberFormat="1" applyFont="1" applyFill="1" applyBorder="1" applyAlignment="1" applyProtection="1">
      <alignment horizontal="center" vertical="center" wrapText="1"/>
    </xf>
    <xf numFmtId="0" fontId="17" fillId="0" borderId="0" xfId="5" applyAlignment="1">
      <alignment horizontal="left"/>
    </xf>
    <xf numFmtId="168" fontId="16" fillId="5" borderId="0" xfId="0" applyNumberFormat="1" applyFont="1" applyFill="1" applyAlignment="1">
      <alignment horizontal="center" vertical="center"/>
    </xf>
    <xf numFmtId="0" fontId="1" fillId="5" borderId="0" xfId="0" quotePrefix="1" applyFont="1" applyFill="1" applyBorder="1" applyAlignment="1" applyProtection="1">
      <alignment horizontal="left" vertical="center"/>
      <protection locked="0"/>
    </xf>
    <xf numFmtId="0" fontId="18" fillId="0" borderId="0" xfId="0" applyFont="1"/>
    <xf numFmtId="168" fontId="4" fillId="5" borderId="37" xfId="4" applyNumberFormat="1" applyFont="1" applyFill="1" applyBorder="1" applyAlignment="1" applyProtection="1">
      <alignment horizontal="center" vertical="center" wrapText="1"/>
    </xf>
    <xf numFmtId="168" fontId="1" fillId="5" borderId="35" xfId="0" applyNumberFormat="1" applyFont="1" applyFill="1" applyBorder="1" applyAlignment="1" applyProtection="1">
      <alignment horizontal="center" vertical="center" wrapText="1"/>
      <protection locked="0"/>
    </xf>
    <xf numFmtId="0" fontId="1" fillId="5" borderId="35" xfId="0" applyFont="1" applyFill="1" applyBorder="1" applyAlignment="1" applyProtection="1">
      <alignment horizontal="center" vertical="center" wrapText="1"/>
      <protection locked="0"/>
    </xf>
    <xf numFmtId="0" fontId="1" fillId="0" borderId="38" xfId="0" applyFont="1" applyBorder="1" applyAlignment="1" applyProtection="1">
      <alignment horizontal="left" vertical="center" wrapText="1"/>
      <protection locked="0"/>
    </xf>
    <xf numFmtId="0" fontId="1" fillId="0" borderId="37" xfId="0" applyFont="1" applyBorder="1" applyAlignment="1" applyProtection="1">
      <alignment horizontal="left" vertical="center" wrapText="1"/>
      <protection locked="0"/>
    </xf>
    <xf numFmtId="165" fontId="6" fillId="2" borderId="18" xfId="4" applyNumberFormat="1" applyFont="1" applyFill="1" applyBorder="1" applyAlignment="1" applyProtection="1">
      <alignment horizontal="center" vertical="center" wrapText="1"/>
    </xf>
    <xf numFmtId="0" fontId="1" fillId="5" borderId="37" xfId="0" quotePrefix="1" applyFont="1" applyFill="1" applyBorder="1" applyAlignment="1" applyProtection="1">
      <alignment horizontal="left" vertical="center" wrapText="1"/>
      <protection locked="0"/>
    </xf>
    <xf numFmtId="0" fontId="4" fillId="0" borderId="0" xfId="0" applyFont="1" applyBorder="1" applyAlignment="1">
      <alignment horizontal="left"/>
    </xf>
    <xf numFmtId="167" fontId="4" fillId="0" borderId="0" xfId="0" applyNumberFormat="1" applyFont="1" applyBorder="1" applyAlignment="1">
      <alignment horizontal="right"/>
    </xf>
    <xf numFmtId="0" fontId="4" fillId="5" borderId="0" xfId="0" applyFont="1" applyFill="1" applyBorder="1" applyAlignment="1">
      <alignment horizontal="left"/>
    </xf>
    <xf numFmtId="0" fontId="1" fillId="5" borderId="41" xfId="0" quotePrefix="1" applyFont="1" applyFill="1" applyBorder="1" applyAlignment="1" applyProtection="1">
      <alignment horizontal="left" vertical="center" wrapText="1"/>
      <protection locked="0"/>
    </xf>
    <xf numFmtId="0" fontId="1" fillId="5" borderId="41" xfId="0" applyFont="1" applyFill="1" applyBorder="1" applyAlignment="1" applyProtection="1">
      <alignment horizontal="left" vertical="center" wrapText="1"/>
      <protection locked="0"/>
    </xf>
    <xf numFmtId="165" fontId="4" fillId="5" borderId="41" xfId="4" applyNumberFormat="1" applyFont="1" applyFill="1" applyBorder="1" applyAlignment="1" applyProtection="1">
      <alignment horizontal="center" vertical="center" wrapText="1"/>
    </xf>
    <xf numFmtId="0" fontId="3" fillId="6" borderId="42" xfId="0" quotePrefix="1" applyFont="1" applyFill="1" applyBorder="1" applyAlignment="1" applyProtection="1">
      <alignment horizontal="left" vertical="center" wrapText="1"/>
      <protection locked="0"/>
    </xf>
    <xf numFmtId="0" fontId="3" fillId="6" borderId="42" xfId="0" applyFont="1" applyFill="1" applyBorder="1" applyAlignment="1" applyProtection="1">
      <alignment horizontal="left" vertical="center" wrapText="1"/>
      <protection locked="0"/>
    </xf>
    <xf numFmtId="165" fontId="6" fillId="6" borderId="42" xfId="4" applyNumberFormat="1" applyFont="1" applyFill="1" applyBorder="1" applyAlignment="1" applyProtection="1">
      <alignment horizontal="center" vertical="center" wrapText="1"/>
    </xf>
    <xf numFmtId="0" fontId="18" fillId="0" borderId="37" xfId="0" applyFont="1" applyBorder="1"/>
    <xf numFmtId="0" fontId="1" fillId="5" borderId="37" xfId="0" quotePrefix="1" applyFont="1" applyFill="1" applyBorder="1" applyAlignment="1" applyProtection="1">
      <alignment horizontal="left" vertical="center"/>
      <protection locked="0"/>
    </xf>
    <xf numFmtId="0" fontId="3" fillId="7" borderId="43" xfId="0" quotePrefix="1" applyFont="1" applyFill="1" applyBorder="1" applyAlignment="1" applyProtection="1">
      <alignment horizontal="left" vertical="center" wrapText="1"/>
      <protection locked="0"/>
    </xf>
    <xf numFmtId="0" fontId="3" fillId="7" borderId="42" xfId="0" applyFont="1" applyFill="1" applyBorder="1" applyAlignment="1" applyProtection="1">
      <alignment horizontal="left" vertical="center" wrapText="1"/>
      <protection locked="0"/>
    </xf>
    <xf numFmtId="165" fontId="6" fillId="7" borderId="42" xfId="4" applyNumberFormat="1" applyFont="1" applyFill="1" applyBorder="1" applyAlignment="1" applyProtection="1">
      <alignment horizontal="center" vertical="center" wrapText="1"/>
    </xf>
    <xf numFmtId="165" fontId="6" fillId="7" borderId="44" xfId="4" applyNumberFormat="1" applyFont="1" applyFill="1" applyBorder="1" applyAlignment="1" applyProtection="1">
      <alignment horizontal="center" vertical="center" wrapText="1"/>
    </xf>
    <xf numFmtId="0" fontId="5" fillId="3" borderId="6" xfId="0" applyNumberFormat="1" applyFont="1" applyFill="1" applyBorder="1" applyAlignment="1">
      <alignment horizontal="center" vertical="center" wrapText="1"/>
    </xf>
    <xf numFmtId="0" fontId="5" fillId="3" borderId="15" xfId="0" applyNumberFormat="1" applyFont="1" applyFill="1" applyBorder="1" applyAlignment="1">
      <alignment horizontal="center" vertical="center" wrapText="1"/>
    </xf>
    <xf numFmtId="0" fontId="5" fillId="3" borderId="10" xfId="0" applyNumberFormat="1" applyFont="1" applyFill="1" applyBorder="1" applyAlignment="1">
      <alignment horizontal="center" vertical="center" wrapText="1"/>
    </xf>
    <xf numFmtId="0" fontId="5" fillId="3" borderId="40" xfId="0" applyNumberFormat="1" applyFont="1" applyFill="1" applyBorder="1" applyAlignment="1">
      <alignment horizontal="center" vertical="center" wrapText="1"/>
    </xf>
    <xf numFmtId="0" fontId="5" fillId="3" borderId="39" xfId="0" applyNumberFormat="1" applyFont="1" applyFill="1" applyBorder="1" applyAlignment="1">
      <alignment horizontal="center" vertical="center" wrapText="1"/>
    </xf>
    <xf numFmtId="0" fontId="5" fillId="3" borderId="6" xfId="0" applyFont="1" applyFill="1" applyBorder="1" applyAlignment="1">
      <alignment horizontal="center" vertical="center" wrapText="1"/>
    </xf>
    <xf numFmtId="0" fontId="5" fillId="3" borderId="0" xfId="0" applyFont="1" applyFill="1" applyAlignment="1">
      <alignment horizontal="center" vertical="center" wrapText="1"/>
    </xf>
    <xf numFmtId="0" fontId="5" fillId="3" borderId="15" xfId="0" applyFont="1" applyFill="1" applyBorder="1" applyAlignment="1">
      <alignment horizontal="center" vertical="center" wrapText="1"/>
    </xf>
    <xf numFmtId="0" fontId="5" fillId="3" borderId="0" xfId="0" applyNumberFormat="1" applyFont="1" applyFill="1" applyBorder="1" applyAlignment="1">
      <alignment horizontal="center" vertical="center" wrapText="1"/>
    </xf>
  </cellXfs>
  <cellStyles count="6">
    <cellStyle name="Lien hypertexte" xfId="5" builtinId="8"/>
    <cellStyle name="Milliers 2 3 11 2" xfId="4" xr:uid="{00000000-0005-0000-0000-000000000000}"/>
    <cellStyle name="Normal" xfId="0" builtinId="0"/>
    <cellStyle name="Normal 2 2" xfId="3" xr:uid="{00000000-0005-0000-0000-000002000000}"/>
    <cellStyle name="Normal 3" xfId="1" xr:uid="{00000000-0005-0000-0000-000003000000}"/>
    <cellStyle name="Normal 3 10 5" xfId="2" xr:uid="{00000000-0005-0000-0000-000004000000}"/>
  </cellStyles>
  <dxfs count="451">
    <dxf>
      <font>
        <color rgb="FF9C0006"/>
      </font>
      <fill>
        <patternFill>
          <bgColor rgb="FFFFC7CE"/>
        </patternFill>
      </fill>
    </dxf>
    <dxf>
      <font>
        <color rgb="FF9C0006"/>
      </font>
      <fill>
        <patternFill>
          <bgColor rgb="FFFFC7CE"/>
        </patternFill>
      </fill>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color rgb="FF9C0006"/>
      </font>
      <fill>
        <patternFill>
          <bgColor rgb="FFFFC7CE"/>
        </patternFill>
      </fill>
    </dxf>
    <dxf>
      <font>
        <strike/>
        <color auto="1"/>
      </font>
    </dxf>
    <dxf>
      <font>
        <color rgb="FF9C0006"/>
      </font>
      <fill>
        <patternFill>
          <bgColor rgb="FFFFC7CE"/>
        </patternFill>
      </fill>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
      <font>
        <strike/>
        <color auto="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hyperlink" Target="https://www.legifrance.gouv.fr/jorf/id/JORFARTI00004458985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8" tint="-0.499984740745262"/>
  </sheetPr>
  <dimension ref="A1"/>
  <sheetViews>
    <sheetView showGridLines="0" workbookViewId="0">
      <selection activeCell="C38" sqref="C38"/>
    </sheetView>
  </sheetViews>
  <sheetFormatPr baseColWidth="10" defaultRowHeight="15"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43"/>
  <sheetViews>
    <sheetView showGridLines="0" tabSelected="1" zoomScale="85" zoomScaleNormal="85" workbookViewId="0">
      <pane xSplit="3" ySplit="6" topLeftCell="D7" activePane="bottomRight" state="frozen"/>
      <selection activeCell="AR32" sqref="AR32"/>
      <selection pane="topRight" activeCell="AR32" sqref="AR32"/>
      <selection pane="bottomLeft" activeCell="AR32" sqref="AR32"/>
      <selection pane="bottomRight" activeCell="M11" sqref="M11"/>
    </sheetView>
  </sheetViews>
  <sheetFormatPr baseColWidth="10" defaultRowHeight="15" outlineLevelCol="1" x14ac:dyDescent="0.25"/>
  <cols>
    <col min="1" max="1" width="1.7109375" customWidth="1"/>
    <col min="2" max="2" width="12.7109375" style="107" hidden="1" customWidth="1" outlineLevel="1"/>
    <col min="3" max="3" width="71.7109375" style="3" bestFit="1" customWidth="1" collapsed="1"/>
    <col min="4" max="11" width="13.5703125" style="13" customWidth="1"/>
  </cols>
  <sheetData>
    <row r="1" spans="1:13" ht="23.25" x14ac:dyDescent="0.35">
      <c r="A1" s="8"/>
      <c r="B1" s="8" t="s">
        <v>148</v>
      </c>
    </row>
    <row r="2" spans="1:13" x14ac:dyDescent="0.25">
      <c r="A2" s="7"/>
      <c r="B2" s="7"/>
    </row>
    <row r="3" spans="1:13" ht="12.75" customHeight="1" x14ac:dyDescent="0.25">
      <c r="A3" s="7"/>
      <c r="B3" s="7"/>
    </row>
    <row r="4" spans="1:13" x14ac:dyDescent="0.25">
      <c r="K4" s="12" t="s">
        <v>116</v>
      </c>
    </row>
    <row r="5" spans="1:13" ht="15.75" thickBot="1" x14ac:dyDescent="0.3">
      <c r="C5" s="174" t="s">
        <v>147</v>
      </c>
      <c r="D5" s="175" t="s">
        <v>329</v>
      </c>
      <c r="E5" s="175" t="s">
        <v>330</v>
      </c>
      <c r="F5" s="175" t="s">
        <v>331</v>
      </c>
      <c r="G5" s="28" t="s">
        <v>332</v>
      </c>
      <c r="H5" s="28"/>
      <c r="I5" s="28"/>
      <c r="J5" s="28"/>
      <c r="K5" s="174" t="s">
        <v>333</v>
      </c>
    </row>
    <row r="6" spans="1:13" ht="51" customHeight="1" x14ac:dyDescent="0.25">
      <c r="C6" s="174"/>
      <c r="D6" s="175"/>
      <c r="E6" s="175"/>
      <c r="F6" s="175"/>
      <c r="G6" s="29" t="s">
        <v>146</v>
      </c>
      <c r="H6" s="30" t="s">
        <v>145</v>
      </c>
      <c r="I6" s="30" t="s">
        <v>132</v>
      </c>
      <c r="J6" s="31" t="s">
        <v>144</v>
      </c>
      <c r="K6" s="174"/>
    </row>
    <row r="7" spans="1:13" ht="12.75" customHeight="1" x14ac:dyDescent="0.25">
      <c r="C7" s="14" t="s">
        <v>143</v>
      </c>
      <c r="D7" s="15">
        <f t="shared" ref="D7:K7" si="0">SUM(D8:D16)</f>
        <v>460224920050.44</v>
      </c>
      <c r="E7" s="15">
        <f t="shared" si="0"/>
        <v>484671270017.4519</v>
      </c>
      <c r="F7" s="15">
        <f t="shared" si="0"/>
        <v>467588064529</v>
      </c>
      <c r="G7" s="124">
        <f t="shared" si="0"/>
        <v>7395712451.8635359</v>
      </c>
      <c r="H7" s="124">
        <f t="shared" si="0"/>
        <v>6897750721.7430544</v>
      </c>
      <c r="I7" s="124">
        <f t="shared" si="0"/>
        <v>14726925768.39341</v>
      </c>
      <c r="J7" s="124">
        <f t="shared" si="0"/>
        <v>3741000000</v>
      </c>
      <c r="K7" s="15">
        <f t="shared" si="0"/>
        <v>500349453471</v>
      </c>
      <c r="M7" s="46"/>
    </row>
    <row r="8" spans="1:13" ht="12.75" customHeight="1" x14ac:dyDescent="0.25">
      <c r="B8" s="107">
        <v>1101</v>
      </c>
      <c r="C8" s="11" t="s">
        <v>130</v>
      </c>
      <c r="D8" s="16">
        <v>112076248108.95</v>
      </c>
      <c r="E8" s="16">
        <v>117074600000</v>
      </c>
      <c r="F8" s="16">
        <v>113693585081</v>
      </c>
      <c r="G8" s="125">
        <f>K8-F8-H8-I8-J8</f>
        <v>5882829654.2259893</v>
      </c>
      <c r="H8" s="125">
        <f>RFN!H9</f>
        <v>481073112.77401024</v>
      </c>
      <c r="I8" s="125">
        <f>RFN!I9</f>
        <v>134000000</v>
      </c>
      <c r="J8" s="125">
        <f>RFN!J9</f>
        <v>0</v>
      </c>
      <c r="K8" s="16">
        <f>RFN!K9</f>
        <v>120191487848</v>
      </c>
      <c r="M8" s="46"/>
    </row>
    <row r="9" spans="1:13" ht="12.75" customHeight="1" x14ac:dyDescent="0.25">
      <c r="B9" s="107">
        <v>1201</v>
      </c>
      <c r="C9" s="11" t="s">
        <v>129</v>
      </c>
      <c r="D9" s="16">
        <v>2450647276.79</v>
      </c>
      <c r="E9" s="16">
        <v>2632399488.741961</v>
      </c>
      <c r="F9" s="16">
        <v>2848300000</v>
      </c>
      <c r="G9" s="125">
        <f t="shared" ref="G9:G16" si="1">K9-F9-H9-I9-J9</f>
        <v>50600000</v>
      </c>
      <c r="H9" s="125">
        <f>RFN!H33</f>
        <v>0</v>
      </c>
      <c r="I9" s="125">
        <f>RFN!I33</f>
        <v>0</v>
      </c>
      <c r="J9" s="125">
        <f>RFN!J33</f>
        <v>0</v>
      </c>
      <c r="K9" s="16">
        <f>RFN!K33</f>
        <v>2898900000</v>
      </c>
      <c r="M9" s="46"/>
    </row>
    <row r="10" spans="1:13" ht="12.75" customHeight="1" x14ac:dyDescent="0.25">
      <c r="B10" s="107">
        <v>1301</v>
      </c>
      <c r="C10" s="11" t="s">
        <v>128</v>
      </c>
      <c r="D10" s="16">
        <v>82712089405.440002</v>
      </c>
      <c r="E10" s="16">
        <v>91291375411</v>
      </c>
      <c r="F10" s="16">
        <v>84059983697</v>
      </c>
      <c r="G10" s="125">
        <f t="shared" si="1"/>
        <v>-2946374740.5189877</v>
      </c>
      <c r="H10" s="125">
        <f>RFN!H18</f>
        <v>-1513500941.4810123</v>
      </c>
      <c r="I10" s="125">
        <f>RFN!I18</f>
        <v>169079015</v>
      </c>
      <c r="J10" s="125">
        <f>RFN!J18</f>
        <v>0</v>
      </c>
      <c r="K10" s="125">
        <f>RFN!K18</f>
        <v>79769187030</v>
      </c>
      <c r="M10" s="46"/>
    </row>
    <row r="11" spans="1:13" ht="12.75" customHeight="1" x14ac:dyDescent="0.25">
      <c r="B11" s="107">
        <v>1302</v>
      </c>
      <c r="C11" s="11" t="s">
        <v>127</v>
      </c>
      <c r="D11" s="16">
        <v>1406384135.5999999</v>
      </c>
      <c r="E11" s="16">
        <v>1741600000</v>
      </c>
      <c r="F11" s="16">
        <v>1591000000</v>
      </c>
      <c r="G11" s="125">
        <f t="shared" si="1"/>
        <v>-16000000</v>
      </c>
      <c r="H11" s="125">
        <f>RFN!H34</f>
        <v>0</v>
      </c>
      <c r="I11" s="125">
        <f>RFN!I34</f>
        <v>0</v>
      </c>
      <c r="J11" s="125">
        <f>RFN!J34</f>
        <v>0</v>
      </c>
      <c r="K11" s="125">
        <f>RFN!K34</f>
        <v>1575000000</v>
      </c>
      <c r="M11" s="46"/>
    </row>
    <row r="12" spans="1:13" ht="12.75" customHeight="1" x14ac:dyDescent="0.25">
      <c r="B12" s="107">
        <v>1303</v>
      </c>
      <c r="C12" s="11" t="s">
        <v>126</v>
      </c>
      <c r="D12" s="16">
        <v>313629013</v>
      </c>
      <c r="E12" s="16">
        <v>341000000</v>
      </c>
      <c r="F12" s="16">
        <v>586000000</v>
      </c>
      <c r="G12" s="125">
        <f t="shared" si="1"/>
        <v>-281000000</v>
      </c>
      <c r="H12" s="125">
        <f>RFN!H35</f>
        <v>0</v>
      </c>
      <c r="I12" s="125">
        <f>RFN!I35</f>
        <v>0</v>
      </c>
      <c r="J12" s="125">
        <f>RFN!J35</f>
        <v>0</v>
      </c>
      <c r="K12" s="125">
        <f>RFN!K35</f>
        <v>305000000</v>
      </c>
      <c r="M12" s="46"/>
    </row>
    <row r="13" spans="1:13" ht="12.75" customHeight="1" x14ac:dyDescent="0.25">
      <c r="B13" s="107">
        <v>14</v>
      </c>
      <c r="C13" s="11" t="s">
        <v>125</v>
      </c>
      <c r="D13" s="16">
        <v>31466227145.050003</v>
      </c>
      <c r="E13" s="16">
        <v>30283750000</v>
      </c>
      <c r="F13" s="16">
        <v>30683151465</v>
      </c>
      <c r="G13" s="125">
        <f t="shared" si="1"/>
        <v>-68073980.117248535</v>
      </c>
      <c r="H13" s="125">
        <f>SUM(RFN!H36:H58)</f>
        <v>-1284097580.276161</v>
      </c>
      <c r="I13" s="125">
        <f>SUM(RFN!I36:I58)</f>
        <v>11103846753.39341</v>
      </c>
      <c r="J13" s="125">
        <f>SUM(RFN!J36:J58)</f>
        <v>0</v>
      </c>
      <c r="K13" s="125">
        <f>SUM(RFN!K36:K58)</f>
        <v>40434826658</v>
      </c>
      <c r="M13" s="46"/>
    </row>
    <row r="14" spans="1:13" ht="12.75" customHeight="1" x14ac:dyDescent="0.25">
      <c r="B14" s="107">
        <v>1501</v>
      </c>
      <c r="C14" s="11" t="s">
        <v>124</v>
      </c>
      <c r="D14" s="16">
        <v>18714018029.529999</v>
      </c>
      <c r="E14" s="16">
        <v>17379831357.709999</v>
      </c>
      <c r="F14" s="16">
        <v>17582731842</v>
      </c>
      <c r="G14" s="125">
        <f t="shared" si="1"/>
        <v>-603063327.52501845</v>
      </c>
      <c r="H14" s="125">
        <f>RFN!H24</f>
        <v>487293020.52501845</v>
      </c>
      <c r="I14" s="125">
        <f>RFN!I24</f>
        <v>0</v>
      </c>
      <c r="J14" s="125">
        <f>RFN!J24</f>
        <v>591000000</v>
      </c>
      <c r="K14" s="16">
        <f>RFN!K24</f>
        <v>18057961535</v>
      </c>
      <c r="M14" s="46"/>
    </row>
    <row r="15" spans="1:13" ht="12.75" customHeight="1" x14ac:dyDescent="0.25">
      <c r="B15" s="107">
        <v>1601</v>
      </c>
      <c r="C15" s="11" t="s">
        <v>123</v>
      </c>
      <c r="D15" s="16">
        <v>172800489901.38</v>
      </c>
      <c r="E15" s="16">
        <v>184258641099</v>
      </c>
      <c r="F15" s="16">
        <v>176938872861</v>
      </c>
      <c r="G15" s="125">
        <f t="shared" si="1"/>
        <v>4731809275.8184099</v>
      </c>
      <c r="H15" s="125">
        <f>RFN!H28</f>
        <v>4383010561.1815901</v>
      </c>
      <c r="I15" s="125">
        <f>RFN!I28</f>
        <v>1620000000</v>
      </c>
      <c r="J15" s="125">
        <f>RFN!J28</f>
        <v>2227000000</v>
      </c>
      <c r="K15" s="16">
        <f>RFN!K28</f>
        <v>189900692698</v>
      </c>
      <c r="M15" s="46"/>
    </row>
    <row r="16" spans="1:13" ht="12.75" customHeight="1" x14ac:dyDescent="0.25">
      <c r="B16" s="107">
        <v>17</v>
      </c>
      <c r="C16" s="11" t="s">
        <v>122</v>
      </c>
      <c r="D16" s="16">
        <v>38285187034.700005</v>
      </c>
      <c r="E16" s="16">
        <v>39668072661</v>
      </c>
      <c r="F16" s="16">
        <v>39604439583</v>
      </c>
      <c r="G16" s="125">
        <f t="shared" si="1"/>
        <v>644985569.9803915</v>
      </c>
      <c r="H16" s="125">
        <f>SUM(RFN!H59:H97)</f>
        <v>4343972549.0196085</v>
      </c>
      <c r="I16" s="125">
        <f>SUM(RFN!I59:I97)</f>
        <v>1700000000</v>
      </c>
      <c r="J16" s="125">
        <f>SUM(RFN!J59:J97)</f>
        <v>923000000</v>
      </c>
      <c r="K16" s="16">
        <f>SUM(RFN!K59:K97)</f>
        <v>47216397702</v>
      </c>
      <c r="M16" s="46"/>
    </row>
    <row r="17" spans="2:13" ht="12.75" customHeight="1" x14ac:dyDescent="0.25">
      <c r="C17" s="10" t="s">
        <v>142</v>
      </c>
      <c r="D17" s="17">
        <f t="shared" ref="D17:K17" si="2">SUM(D18:D22)</f>
        <v>137321974393.28</v>
      </c>
      <c r="E17" s="17">
        <f t="shared" si="2"/>
        <v>136189146022</v>
      </c>
      <c r="F17" s="17">
        <f t="shared" si="2"/>
        <v>145100552381</v>
      </c>
      <c r="G17" s="126">
        <f t="shared" si="2"/>
        <v>-1506581536.9999993</v>
      </c>
      <c r="H17" s="126">
        <f t="shared" si="2"/>
        <v>-852000000</v>
      </c>
      <c r="I17" s="126">
        <f t="shared" si="2"/>
        <v>0</v>
      </c>
      <c r="J17" s="126">
        <f t="shared" si="2"/>
        <v>0</v>
      </c>
      <c r="K17" s="17">
        <f t="shared" si="2"/>
        <v>142740071196.74121</v>
      </c>
      <c r="M17" s="46"/>
    </row>
    <row r="18" spans="2:13" ht="12.75" customHeight="1" x14ac:dyDescent="0.25">
      <c r="C18" s="11" t="s">
        <v>121</v>
      </c>
      <c r="D18" s="16">
        <f>D8-D25</f>
        <v>23486807741.029999</v>
      </c>
      <c r="E18" s="16">
        <f>E8-E25</f>
        <v>23710122325</v>
      </c>
      <c r="F18" s="16">
        <f>F8-F25</f>
        <v>25625616716</v>
      </c>
      <c r="G18" s="125">
        <f>G8-G25</f>
        <v>768615849</v>
      </c>
      <c r="H18" s="125">
        <f>SUM(RFN!H10:H15)</f>
        <v>0</v>
      </c>
      <c r="I18" s="125">
        <f>SUM(RFN!I10:I15)</f>
        <v>0</v>
      </c>
      <c r="J18" s="125">
        <f>SUM(RFN!J10:J15)</f>
        <v>0</v>
      </c>
      <c r="K18" s="125">
        <v>26393233000</v>
      </c>
      <c r="M18" s="46"/>
    </row>
    <row r="19" spans="2:13" ht="12.75" customHeight="1" x14ac:dyDescent="0.25">
      <c r="C19" s="11" t="s">
        <v>120</v>
      </c>
      <c r="D19" s="16">
        <f>D10-D26</f>
        <v>25886728294.349998</v>
      </c>
      <c r="E19" s="16">
        <f>E10-E26</f>
        <v>19244530370</v>
      </c>
      <c r="F19" s="16">
        <f>F10-F26</f>
        <v>26360103835</v>
      </c>
      <c r="G19" s="125">
        <f>G10-G26</f>
        <v>-2836542872</v>
      </c>
      <c r="H19" s="125">
        <f>SUM(RFN!H19:H21)</f>
        <v>0</v>
      </c>
      <c r="I19" s="125">
        <f>SUM(RFN!I19:I21)</f>
        <v>0</v>
      </c>
      <c r="J19" s="125">
        <f>SUM(RFN!J19:J21)</f>
        <v>0</v>
      </c>
      <c r="K19" s="125">
        <v>23523054000</v>
      </c>
      <c r="M19" s="46"/>
    </row>
    <row r="20" spans="2:13" ht="12.75" customHeight="1" x14ac:dyDescent="0.25">
      <c r="C20" s="11" t="s">
        <v>149</v>
      </c>
      <c r="D20" s="16">
        <f t="shared" ref="D20:G21" si="3">D14-D27</f>
        <v>1910471114.0100002</v>
      </c>
      <c r="E20" s="16">
        <f t="shared" si="3"/>
        <v>1989754450</v>
      </c>
      <c r="F20" s="16">
        <f t="shared" si="3"/>
        <v>2051043219</v>
      </c>
      <c r="G20" s="125">
        <f t="shared" si="3"/>
        <v>-488996101</v>
      </c>
      <c r="H20" s="125">
        <f>RFN!H25</f>
        <v>0</v>
      </c>
      <c r="I20" s="125">
        <f>RFN!I25</f>
        <v>0</v>
      </c>
      <c r="J20" s="125">
        <f>RFN!J25</f>
        <v>0</v>
      </c>
      <c r="K20" s="16">
        <f>K14-K27</f>
        <v>1562047118</v>
      </c>
      <c r="M20" s="46"/>
    </row>
    <row r="21" spans="2:13" ht="12.75" customHeight="1" x14ac:dyDescent="0.25">
      <c r="C21" s="11" t="s">
        <v>150</v>
      </c>
      <c r="D21" s="16">
        <f t="shared" si="3"/>
        <v>77612812010.919998</v>
      </c>
      <c r="E21" s="16">
        <f t="shared" si="3"/>
        <v>83452829859</v>
      </c>
      <c r="F21" s="16">
        <f t="shared" si="3"/>
        <v>80887970414</v>
      </c>
      <c r="G21" s="125">
        <f t="shared" si="3"/>
        <v>2790141587</v>
      </c>
      <c r="H21" s="125">
        <f>SUM(RFN!H29:H30)</f>
        <v>0</v>
      </c>
      <c r="I21" s="125">
        <f>SUM(RFN!I29:I30)</f>
        <v>0</v>
      </c>
      <c r="J21" s="125">
        <f>SUM(RFN!J29:J30)</f>
        <v>0</v>
      </c>
      <c r="K21" s="16">
        <f>K15-K28</f>
        <v>83678112001</v>
      </c>
      <c r="M21" s="46"/>
    </row>
    <row r="22" spans="2:13" ht="12.75" customHeight="1" x14ac:dyDescent="0.25">
      <c r="C22" s="9" t="s">
        <v>119</v>
      </c>
      <c r="D22" s="19">
        <f>D9+D11+D12+D13+D16-D29</f>
        <v>8425155232.9700012</v>
      </c>
      <c r="E22" s="19">
        <f>E9+E11+E12+E13+E16-E29</f>
        <v>7791909018</v>
      </c>
      <c r="F22" s="19">
        <f>F9+F11+F12+F13+F16-F29</f>
        <v>10175818197</v>
      </c>
      <c r="G22" s="127">
        <f>G9+G11+G12+G13+G16-G29</f>
        <v>-1739799999.9999993</v>
      </c>
      <c r="H22" s="127">
        <f>SUM(RFN!H98:H108)</f>
        <v>-852000000</v>
      </c>
      <c r="I22" s="127">
        <f>SUM(RFN!I98:I108)</f>
        <v>0</v>
      </c>
      <c r="J22" s="127">
        <f>SUM(RFN!J98:J108)</f>
        <v>0</v>
      </c>
      <c r="K22" s="19">
        <f>K9+K11+K12+K13+K16-K29</f>
        <v>7583625077.7412109</v>
      </c>
      <c r="M22" s="46"/>
    </row>
    <row r="23" spans="2:13" ht="3" customHeight="1" x14ac:dyDescent="0.25">
      <c r="C23" s="4"/>
      <c r="D23" s="16"/>
      <c r="E23" s="16"/>
      <c r="F23" s="16"/>
      <c r="G23" s="125"/>
      <c r="H23" s="125"/>
      <c r="I23" s="125"/>
      <c r="J23" s="125"/>
      <c r="K23" s="16"/>
      <c r="M23" s="46"/>
    </row>
    <row r="24" spans="2:13" ht="15" customHeight="1" x14ac:dyDescent="0.25">
      <c r="C24" s="14" t="s">
        <v>342</v>
      </c>
      <c r="D24" s="15">
        <f t="shared" ref="D24:E24" si="4">SUM(D25:D29)</f>
        <v>322902945657.16003</v>
      </c>
      <c r="E24" s="15">
        <f t="shared" si="4"/>
        <v>348482123995.4519</v>
      </c>
      <c r="F24" s="15">
        <f t="shared" ref="F24" si="5">SUM(F25:F29)</f>
        <v>322487512148</v>
      </c>
      <c r="G24" s="124">
        <f t="shared" ref="G24:J24" si="6">SUM(G25:G29)</f>
        <v>8902293988.8635349</v>
      </c>
      <c r="H24" s="124">
        <f t="shared" si="6"/>
        <v>7749750721.7430534</v>
      </c>
      <c r="I24" s="124">
        <f>SUM(I25:I29)</f>
        <v>14726925768.39341</v>
      </c>
      <c r="J24" s="124">
        <f t="shared" si="6"/>
        <v>3741000000</v>
      </c>
      <c r="K24" s="15">
        <f>RFN!K6</f>
        <v>357607875746.25879</v>
      </c>
      <c r="M24" s="46"/>
    </row>
    <row r="25" spans="2:13" ht="12.75" customHeight="1" x14ac:dyDescent="0.25">
      <c r="B25" s="107" t="s">
        <v>334</v>
      </c>
      <c r="C25" s="11" t="s">
        <v>356</v>
      </c>
      <c r="D25" s="16">
        <v>88589440367.919998</v>
      </c>
      <c r="E25" s="16">
        <v>93364477675</v>
      </c>
      <c r="F25" s="16">
        <v>88067968365</v>
      </c>
      <c r="G25" s="125">
        <f t="shared" ref="G25:G28" si="7">K25-F25-H25-I25-J25</f>
        <v>5114213805.2259893</v>
      </c>
      <c r="H25" s="125">
        <f>H8-H18</f>
        <v>481073112.77401024</v>
      </c>
      <c r="I25" s="125">
        <f>I8-I18</f>
        <v>134000000</v>
      </c>
      <c r="J25" s="125">
        <f>J8-J18</f>
        <v>0</v>
      </c>
      <c r="K25" s="125">
        <f>RFN!K8</f>
        <v>93797255283</v>
      </c>
      <c r="M25" s="46"/>
    </row>
    <row r="26" spans="2:13" ht="12.75" customHeight="1" x14ac:dyDescent="0.25">
      <c r="B26" s="107" t="s">
        <v>335</v>
      </c>
      <c r="C26" s="11" t="s">
        <v>420</v>
      </c>
      <c r="D26" s="16">
        <v>56825361111.090004</v>
      </c>
      <c r="E26" s="16">
        <v>72046845041</v>
      </c>
      <c r="F26" s="16">
        <v>57699879862</v>
      </c>
      <c r="G26" s="125">
        <f t="shared" si="7"/>
        <v>-109831868.51898766</v>
      </c>
      <c r="H26" s="125">
        <f>H10-H19</f>
        <v>-1513500941.4810123</v>
      </c>
      <c r="I26" s="125">
        <f>I10-I19</f>
        <v>169079015</v>
      </c>
      <c r="J26" s="125">
        <f>J10-J19</f>
        <v>0</v>
      </c>
      <c r="K26" s="125">
        <f>RFN!K17</f>
        <v>56245626067</v>
      </c>
      <c r="M26" s="46"/>
    </row>
    <row r="27" spans="2:13" ht="12.75" customHeight="1" x14ac:dyDescent="0.25">
      <c r="B27" s="107" t="s">
        <v>336</v>
      </c>
      <c r="C27" s="11" t="s">
        <v>141</v>
      </c>
      <c r="D27" s="16">
        <v>16803546915.519999</v>
      </c>
      <c r="E27" s="16">
        <v>15390076907.709999</v>
      </c>
      <c r="F27" s="16">
        <v>15531688623</v>
      </c>
      <c r="G27" s="125">
        <f t="shared" si="7"/>
        <v>-114067226.52501845</v>
      </c>
      <c r="H27" s="125">
        <f t="shared" ref="H27:J28" si="8">H14-H20</f>
        <v>487293020.52501845</v>
      </c>
      <c r="I27" s="125">
        <f t="shared" si="8"/>
        <v>0</v>
      </c>
      <c r="J27" s="125">
        <f t="shared" si="8"/>
        <v>591000000</v>
      </c>
      <c r="K27" s="125">
        <f>RFN!K23</f>
        <v>16495914417</v>
      </c>
      <c r="M27" s="46"/>
    </row>
    <row r="28" spans="2:13" ht="12.75" customHeight="1" x14ac:dyDescent="0.25">
      <c r="B28" s="107" t="s">
        <v>337</v>
      </c>
      <c r="C28" s="11" t="s">
        <v>140</v>
      </c>
      <c r="D28" s="16">
        <v>95187677890.460007</v>
      </c>
      <c r="E28" s="16">
        <v>100805811240</v>
      </c>
      <c r="F28" s="16">
        <v>96050902447</v>
      </c>
      <c r="G28" s="125">
        <f t="shared" si="7"/>
        <v>1941667688.8184099</v>
      </c>
      <c r="H28" s="125">
        <f t="shared" si="8"/>
        <v>4383010561.1815901</v>
      </c>
      <c r="I28" s="125">
        <f>I15-I21</f>
        <v>1620000000</v>
      </c>
      <c r="J28" s="125">
        <f>J15-J21</f>
        <v>2227000000</v>
      </c>
      <c r="K28" s="125">
        <f>RFN!K27</f>
        <v>106222580697</v>
      </c>
      <c r="M28" s="46"/>
    </row>
    <row r="29" spans="2:13" ht="12.75" customHeight="1" x14ac:dyDescent="0.25">
      <c r="B29" s="107" t="s">
        <v>338</v>
      </c>
      <c r="C29" s="11" t="s">
        <v>139</v>
      </c>
      <c r="D29" s="16">
        <v>65496919372.170013</v>
      </c>
      <c r="E29" s="16">
        <v>66874913131.741959</v>
      </c>
      <c r="F29" s="16">
        <v>65137072851</v>
      </c>
      <c r="G29" s="125">
        <f>RFN!G32</f>
        <v>2070311589.8631423</v>
      </c>
      <c r="H29" s="125">
        <f>RFN!H32</f>
        <v>3911874968.7434478</v>
      </c>
      <c r="I29" s="125">
        <f>RFN!I32</f>
        <v>12803846753.39341</v>
      </c>
      <c r="J29" s="125">
        <f>RFN!J32</f>
        <v>923000000</v>
      </c>
      <c r="K29" s="125">
        <f>K24-SUM(K25:K28)</f>
        <v>84846499282.258789</v>
      </c>
      <c r="M29" s="46"/>
    </row>
    <row r="30" spans="2:13" ht="12.75" customHeight="1" x14ac:dyDescent="0.25">
      <c r="C30" s="10" t="s">
        <v>138</v>
      </c>
      <c r="D30" s="17">
        <f>RNF!D6</f>
        <v>25138915235</v>
      </c>
      <c r="E30" s="17">
        <f>RNF!E6</f>
        <v>22703930278</v>
      </c>
      <c r="F30" s="126">
        <f>RNF!F6</f>
        <v>23396639517</v>
      </c>
      <c r="G30" s="126">
        <f>RNF!G6</f>
        <v>-2848091305</v>
      </c>
      <c r="H30" s="126">
        <f>RNF!H6</f>
        <v>0</v>
      </c>
      <c r="I30" s="126">
        <f>RNF!I6</f>
        <v>0</v>
      </c>
      <c r="J30" s="126">
        <f>RNF!J6</f>
        <v>0</v>
      </c>
      <c r="K30" s="126">
        <f>RNF!K6</f>
        <v>20548548212</v>
      </c>
      <c r="M30" s="46"/>
    </row>
    <row r="31" spans="2:13" ht="12.75" customHeight="1" x14ac:dyDescent="0.25">
      <c r="C31" s="43" t="s">
        <v>137</v>
      </c>
      <c r="D31" s="17">
        <f t="shared" ref="D31:K31" si="9">D32+D33</f>
        <v>68127153343.929993</v>
      </c>
      <c r="E31" s="17">
        <f t="shared" si="9"/>
        <v>66667449534</v>
      </c>
      <c r="F31" s="126">
        <f t="shared" si="9"/>
        <v>67197134320</v>
      </c>
      <c r="G31" s="126">
        <f t="shared" si="9"/>
        <v>312618680</v>
      </c>
      <c r="H31" s="126">
        <f t="shared" si="9"/>
        <v>0</v>
      </c>
      <c r="I31" s="126">
        <f t="shared" si="9"/>
        <v>0</v>
      </c>
      <c r="J31" s="126">
        <f t="shared" si="9"/>
        <v>0</v>
      </c>
      <c r="K31" s="126">
        <f t="shared" si="9"/>
        <v>67509753000</v>
      </c>
      <c r="M31" s="46"/>
    </row>
    <row r="32" spans="2:13" ht="12.75" customHeight="1" x14ac:dyDescent="0.25">
      <c r="C32" s="100" t="s">
        <v>118</v>
      </c>
      <c r="D32" s="16">
        <v>44254013487.009995</v>
      </c>
      <c r="E32" s="16">
        <v>45057825520</v>
      </c>
      <c r="F32" s="125">
        <v>44940983320</v>
      </c>
      <c r="G32" s="125">
        <f>K32-F32-H32-I32-J32</f>
        <v>-752085372</v>
      </c>
      <c r="H32" s="125">
        <v>0</v>
      </c>
      <c r="I32" s="125">
        <v>0</v>
      </c>
      <c r="J32" s="125">
        <v>0</v>
      </c>
      <c r="K32" s="125">
        <v>44188897948</v>
      </c>
    </row>
    <row r="33" spans="2:11" ht="12.75" customHeight="1" x14ac:dyDescent="0.25">
      <c r="C33" s="100" t="s">
        <v>117</v>
      </c>
      <c r="D33" s="16">
        <v>23873139856.919998</v>
      </c>
      <c r="E33" s="16">
        <v>21609624014</v>
      </c>
      <c r="F33" s="125">
        <v>22256151000</v>
      </c>
      <c r="G33" s="125">
        <f>K33-F33-H33-I33-J33</f>
        <v>1064704052</v>
      </c>
      <c r="H33" s="125">
        <v>0</v>
      </c>
      <c r="I33" s="125">
        <v>0</v>
      </c>
      <c r="J33" s="125">
        <v>0</v>
      </c>
      <c r="K33" s="125">
        <v>23320855052</v>
      </c>
    </row>
    <row r="34" spans="2:11" s="18" customFormat="1" ht="12.75" customHeight="1" x14ac:dyDescent="0.25">
      <c r="B34" s="108"/>
      <c r="C34" s="40" t="s">
        <v>136</v>
      </c>
      <c r="D34" s="20">
        <f t="shared" ref="D34:E34" si="10">D24+D30-D31</f>
        <v>279914707548.23004</v>
      </c>
      <c r="E34" s="20">
        <f t="shared" si="10"/>
        <v>304518604739.4519</v>
      </c>
      <c r="F34" s="20">
        <f>F24+F30-F31</f>
        <v>278687017345</v>
      </c>
      <c r="G34" s="20">
        <f t="shared" ref="G34:K34" si="11">G24+G30-G31</f>
        <v>5741584003.8635349</v>
      </c>
      <c r="H34" s="20">
        <f t="shared" si="11"/>
        <v>7749750721.7430534</v>
      </c>
      <c r="I34" s="20">
        <f t="shared" si="11"/>
        <v>14726925768.39341</v>
      </c>
      <c r="J34" s="20">
        <f t="shared" si="11"/>
        <v>3741000000</v>
      </c>
      <c r="K34" s="20">
        <f t="shared" si="11"/>
        <v>310646670958.25879</v>
      </c>
    </row>
    <row r="35" spans="2:11" ht="12.75" customHeight="1" thickBot="1" x14ac:dyDescent="0.3">
      <c r="C35" s="5" t="s">
        <v>135</v>
      </c>
      <c r="D35" s="17">
        <v>6491691402</v>
      </c>
      <c r="E35" s="17">
        <v>7398632983</v>
      </c>
      <c r="F35" s="126">
        <v>6778522735</v>
      </c>
      <c r="G35" s="126">
        <f>K35-F35-H35-I35-J35</f>
        <v>-628223957</v>
      </c>
      <c r="H35" s="126">
        <v>0</v>
      </c>
      <c r="I35" s="126">
        <v>0</v>
      </c>
      <c r="J35" s="126">
        <v>0</v>
      </c>
      <c r="K35" s="126">
        <v>6150298778</v>
      </c>
    </row>
    <row r="36" spans="2:11" s="18" customFormat="1" ht="12.75" customHeight="1" thickBot="1" x14ac:dyDescent="0.3">
      <c r="B36" s="108"/>
      <c r="C36" s="44" t="s">
        <v>134</v>
      </c>
      <c r="D36" s="21">
        <f>SUM(D34,D35)</f>
        <v>286406398950.23004</v>
      </c>
      <c r="E36" s="21">
        <f t="shared" ref="E36:K36" si="12">SUM(E34,E35)</f>
        <v>311917237722.4519</v>
      </c>
      <c r="F36" s="21">
        <f t="shared" si="12"/>
        <v>285465540080</v>
      </c>
      <c r="G36" s="21">
        <f t="shared" si="12"/>
        <v>5113360046.8635349</v>
      </c>
      <c r="H36" s="21">
        <f t="shared" si="12"/>
        <v>7749750721.7430534</v>
      </c>
      <c r="I36" s="21">
        <f t="shared" si="12"/>
        <v>14726925768.39341</v>
      </c>
      <c r="J36" s="21">
        <f t="shared" si="12"/>
        <v>3741000000</v>
      </c>
      <c r="K36" s="157">
        <f t="shared" si="12"/>
        <v>316796969736.25879</v>
      </c>
    </row>
    <row r="37" spans="2:11" ht="12.75" customHeight="1" x14ac:dyDescent="0.25">
      <c r="C37" s="45" t="s">
        <v>341</v>
      </c>
      <c r="D37" s="33"/>
      <c r="E37" s="33"/>
      <c r="F37" s="33"/>
      <c r="G37" s="33"/>
      <c r="H37" s="33"/>
      <c r="I37" s="33"/>
      <c r="J37" s="33"/>
      <c r="K37" s="33"/>
    </row>
    <row r="38" spans="2:11" ht="12.75" customHeight="1" x14ac:dyDescent="0.25">
      <c r="C38" s="45" t="s">
        <v>421</v>
      </c>
      <c r="D38" s="33"/>
      <c r="E38" s="33"/>
      <c r="F38" s="33"/>
      <c r="G38" s="33"/>
      <c r="H38" s="33"/>
      <c r="I38" s="33"/>
      <c r="J38" s="33"/>
      <c r="K38" s="33"/>
    </row>
    <row r="43" spans="2:11" x14ac:dyDescent="0.25">
      <c r="D43" s="75"/>
      <c r="E43" s="75"/>
      <c r="F43" s="106"/>
      <c r="K43" s="75"/>
    </row>
  </sheetData>
  <mergeCells count="5">
    <mergeCell ref="C5:C6"/>
    <mergeCell ref="K5:K6"/>
    <mergeCell ref="F5:F6"/>
    <mergeCell ref="E5:E6"/>
    <mergeCell ref="D5:D6"/>
  </mergeCells>
  <conditionalFormatting sqref="G31:J36 E30:G30 E31:K31 D7:F36 G7:K29 D36:K36 D34:K34">
    <cfRule type="expression" dxfId="450" priority="155">
      <formula>$D7="NonPrisEnCompte"</formula>
    </cfRule>
  </conditionalFormatting>
  <conditionalFormatting sqref="K31:K36">
    <cfRule type="expression" dxfId="449" priority="81">
      <formula>$D31="NonPrisEnCompte"</formula>
    </cfRule>
  </conditionalFormatting>
  <conditionalFormatting sqref="H30:K30">
    <cfRule type="expression" dxfId="448" priority="44">
      <formula>$D30="NonPrisEnCompte"</formula>
    </cfRule>
  </conditionalFormatting>
  <conditionalFormatting sqref="H30:K30">
    <cfRule type="expression" dxfId="447" priority="45">
      <formula>$D30="NonPrisEnCompte"</formula>
    </cfRule>
  </conditionalFormatting>
  <pageMargins left="0.7" right="0.7" top="0.75" bottom="0.75" header="0.3" footer="0.3"/>
  <pageSetup paperSize="9" scale="1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2"/>
    <pageSetUpPr fitToPage="1"/>
  </sheetPr>
  <dimension ref="A1:H20"/>
  <sheetViews>
    <sheetView showGridLines="0" zoomScale="85" zoomScaleNormal="85" workbookViewId="0">
      <selection activeCell="D31" sqref="D31"/>
    </sheetView>
  </sheetViews>
  <sheetFormatPr baseColWidth="10" defaultRowHeight="15" x14ac:dyDescent="0.25"/>
  <cols>
    <col min="1" max="1" width="1.7109375" customWidth="1"/>
    <col min="2" max="2" width="9.42578125" style="3" customWidth="1"/>
    <col min="3" max="3" width="14.28515625" style="3" customWidth="1"/>
    <col min="4" max="4" width="76.5703125" style="3" customWidth="1"/>
    <col min="5" max="5" width="12.7109375" customWidth="1"/>
    <col min="6" max="6" width="11.42578125" style="2" customWidth="1"/>
  </cols>
  <sheetData>
    <row r="1" spans="1:8" ht="23.25" x14ac:dyDescent="0.35">
      <c r="A1" s="8" t="s">
        <v>133</v>
      </c>
    </row>
    <row r="2" spans="1:8" x14ac:dyDescent="0.25">
      <c r="A2" s="7"/>
    </row>
    <row r="3" spans="1:8" x14ac:dyDescent="0.25">
      <c r="F3" s="12"/>
    </row>
    <row r="4" spans="1:8" ht="12.75" customHeight="1" x14ac:dyDescent="0.25">
      <c r="B4" s="74" t="s">
        <v>178</v>
      </c>
      <c r="C4" s="73" t="s">
        <v>181</v>
      </c>
      <c r="D4" s="73" t="s">
        <v>182</v>
      </c>
      <c r="E4" s="73" t="s">
        <v>179</v>
      </c>
      <c r="F4" s="99">
        <v>2025</v>
      </c>
    </row>
    <row r="5" spans="1:8" ht="12.75" customHeight="1" x14ac:dyDescent="0.25">
      <c r="B5" s="119" t="s">
        <v>2</v>
      </c>
      <c r="C5" s="119">
        <v>1101</v>
      </c>
      <c r="D5" s="151" t="s">
        <v>429</v>
      </c>
      <c r="E5" s="119" t="s">
        <v>183</v>
      </c>
      <c r="F5" s="121">
        <v>180000000</v>
      </c>
    </row>
    <row r="6" spans="1:8" s="111" customFormat="1" ht="12.75" customHeight="1" x14ac:dyDescent="0.25">
      <c r="B6" s="136" t="s">
        <v>2</v>
      </c>
      <c r="C6" s="136">
        <v>1101</v>
      </c>
      <c r="D6" s="120" t="s">
        <v>430</v>
      </c>
      <c r="E6" s="136" t="s">
        <v>183</v>
      </c>
      <c r="F6" s="121">
        <v>-46000000</v>
      </c>
      <c r="H6" s="88"/>
    </row>
    <row r="7" spans="1:8" ht="12.75" customHeight="1" x14ac:dyDescent="0.25">
      <c r="B7" s="119" t="s">
        <v>18</v>
      </c>
      <c r="C7" s="119">
        <v>1301</v>
      </c>
      <c r="D7" s="151" t="s">
        <v>423</v>
      </c>
      <c r="E7" s="119" t="s">
        <v>183</v>
      </c>
      <c r="F7" s="121">
        <v>500000000</v>
      </c>
    </row>
    <row r="8" spans="1:8" ht="12.75" customHeight="1" x14ac:dyDescent="0.25">
      <c r="B8" s="119" t="s">
        <v>18</v>
      </c>
      <c r="C8" s="119">
        <v>1301</v>
      </c>
      <c r="D8" s="151" t="s">
        <v>424</v>
      </c>
      <c r="E8" s="119" t="s">
        <v>183</v>
      </c>
      <c r="F8" s="121">
        <v>-110920985</v>
      </c>
    </row>
    <row r="9" spans="1:8" ht="12.75" customHeight="1" x14ac:dyDescent="0.25">
      <c r="B9" s="119" t="s">
        <v>18</v>
      </c>
      <c r="C9" s="119">
        <v>1301</v>
      </c>
      <c r="D9" s="120" t="s">
        <v>351</v>
      </c>
      <c r="E9" s="119" t="s">
        <v>183</v>
      </c>
      <c r="F9" s="121">
        <v>-220000000</v>
      </c>
    </row>
    <row r="10" spans="1:8" ht="12.75" customHeight="1" x14ac:dyDescent="0.25">
      <c r="B10" s="119" t="s">
        <v>108</v>
      </c>
      <c r="C10" s="119">
        <v>1497</v>
      </c>
      <c r="D10" s="120" t="s">
        <v>352</v>
      </c>
      <c r="E10" s="119" t="s">
        <v>183</v>
      </c>
      <c r="F10" s="121">
        <v>1103846753.39341</v>
      </c>
    </row>
    <row r="11" spans="1:8" ht="12.75" customHeight="1" x14ac:dyDescent="0.25">
      <c r="B11" s="119" t="s">
        <v>108</v>
      </c>
      <c r="C11" s="119">
        <v>1440</v>
      </c>
      <c r="D11" s="151" t="s">
        <v>438</v>
      </c>
      <c r="E11" s="119" t="s">
        <v>183</v>
      </c>
      <c r="F11" s="121">
        <v>2000000000</v>
      </c>
    </row>
    <row r="12" spans="1:8" ht="12.75" customHeight="1" x14ac:dyDescent="0.25">
      <c r="B12" s="119" t="s">
        <v>108</v>
      </c>
      <c r="C12" s="119">
        <v>1441</v>
      </c>
      <c r="D12" s="151" t="s">
        <v>340</v>
      </c>
      <c r="E12" s="119" t="s">
        <v>183</v>
      </c>
      <c r="F12" s="121">
        <v>8000000000</v>
      </c>
    </row>
    <row r="13" spans="1:8" ht="12.75" customHeight="1" x14ac:dyDescent="0.25">
      <c r="B13" s="119" t="s">
        <v>13</v>
      </c>
      <c r="C13" s="119">
        <v>1601</v>
      </c>
      <c r="D13" s="120" t="s">
        <v>354</v>
      </c>
      <c r="E13" s="119" t="s">
        <v>183</v>
      </c>
      <c r="F13" s="121">
        <v>1200000000</v>
      </c>
    </row>
    <row r="14" spans="1:8" ht="12.75" customHeight="1" x14ac:dyDescent="0.25">
      <c r="B14" s="119" t="s">
        <v>13</v>
      </c>
      <c r="C14" s="119">
        <v>1601</v>
      </c>
      <c r="D14" s="120" t="s">
        <v>436</v>
      </c>
      <c r="E14" s="119" t="s">
        <v>183</v>
      </c>
      <c r="F14" s="121">
        <v>220000000</v>
      </c>
    </row>
    <row r="15" spans="1:8" ht="12.75" customHeight="1" x14ac:dyDescent="0.25">
      <c r="B15" s="119" t="s">
        <v>13</v>
      </c>
      <c r="C15" s="119">
        <v>1601</v>
      </c>
      <c r="D15" s="151" t="s">
        <v>425</v>
      </c>
      <c r="E15" s="119" t="s">
        <v>183</v>
      </c>
      <c r="F15" s="121">
        <v>200000000</v>
      </c>
    </row>
    <row r="16" spans="1:8" ht="12.75" customHeight="1" x14ac:dyDescent="0.25">
      <c r="B16" s="119" t="s">
        <v>108</v>
      </c>
      <c r="C16" s="119">
        <v>1726</v>
      </c>
      <c r="D16" s="151" t="s">
        <v>426</v>
      </c>
      <c r="E16" s="119" t="s">
        <v>183</v>
      </c>
      <c r="F16" s="121">
        <v>300000000</v>
      </c>
    </row>
    <row r="17" spans="2:8" ht="12.75" customHeight="1" x14ac:dyDescent="0.25">
      <c r="B17" s="119" t="s">
        <v>108</v>
      </c>
      <c r="C17" s="119">
        <v>1753</v>
      </c>
      <c r="D17" s="120" t="s">
        <v>435</v>
      </c>
      <c r="E17" s="119" t="s">
        <v>183</v>
      </c>
      <c r="F17" s="121">
        <v>1600000000</v>
      </c>
    </row>
    <row r="18" spans="2:8" ht="12.75" customHeight="1" x14ac:dyDescent="0.25">
      <c r="B18" s="119" t="s">
        <v>108</v>
      </c>
      <c r="C18" s="119">
        <v>1753</v>
      </c>
      <c r="D18" s="120" t="s">
        <v>412</v>
      </c>
      <c r="E18" s="119" t="s">
        <v>183</v>
      </c>
      <c r="F18" s="121">
        <v>-400000000</v>
      </c>
    </row>
    <row r="19" spans="2:8" ht="12.75" customHeight="1" thickBot="1" x14ac:dyDescent="0.3">
      <c r="B19" s="119" t="s">
        <v>108</v>
      </c>
      <c r="C19" s="119">
        <v>1796</v>
      </c>
      <c r="D19" s="151" t="s">
        <v>427</v>
      </c>
      <c r="E19" s="119" t="s">
        <v>183</v>
      </c>
      <c r="F19" s="121">
        <v>200000000</v>
      </c>
      <c r="H19" s="88"/>
    </row>
    <row r="20" spans="2:8" ht="15.75" thickBot="1" x14ac:dyDescent="0.3">
      <c r="B20" s="55" t="s">
        <v>184</v>
      </c>
      <c r="C20" s="105"/>
      <c r="D20" s="105"/>
      <c r="E20" s="56"/>
      <c r="F20" s="53">
        <f>SUM(F5:F19)</f>
        <v>14726925768.39341</v>
      </c>
    </row>
  </sheetData>
  <conditionalFormatting sqref="F14:F15 F17:F19 F5:F12">
    <cfRule type="expression" dxfId="446" priority="15">
      <formula>$E5="NonPrisEnCompte"</formula>
    </cfRule>
  </conditionalFormatting>
  <conditionalFormatting sqref="F14:F19 F5:F12">
    <cfRule type="expression" dxfId="445" priority="444">
      <formula>#REF!="NonPrisEnCompte"</formula>
    </cfRule>
  </conditionalFormatting>
  <conditionalFormatting sqref="F20">
    <cfRule type="expression" dxfId="444" priority="10">
      <formula>#REF!="NonPrisEnCompte"</formula>
    </cfRule>
  </conditionalFormatting>
  <conditionalFormatting sqref="F16">
    <cfRule type="expression" dxfId="443" priority="588">
      <formula>#REF!="NonPrisEnCompte"</formula>
    </cfRule>
  </conditionalFormatting>
  <conditionalFormatting sqref="F13">
    <cfRule type="expression" dxfId="442" priority="1">
      <formula>$E13="NonPrisEnCompte"</formula>
    </cfRule>
  </conditionalFormatting>
  <conditionalFormatting sqref="F13">
    <cfRule type="expression" dxfId="441" priority="2">
      <formula>#REF!="NonPrisEnCompte"</formula>
    </cfRule>
  </conditionalFormatting>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2"/>
    <pageSetUpPr fitToPage="1"/>
  </sheetPr>
  <dimension ref="A1:O17"/>
  <sheetViews>
    <sheetView showGridLines="0" zoomScaleNormal="100" workbookViewId="0">
      <pane xSplit="3" ySplit="4" topLeftCell="D5" activePane="bottomRight" state="frozen"/>
      <selection activeCell="C2" sqref="A2:XFD3"/>
      <selection pane="topRight" activeCell="C2" sqref="A2:XFD3"/>
      <selection pane="bottomLeft" activeCell="C2" sqref="A2:XFD3"/>
      <selection pane="bottomRight" activeCell="C31" sqref="C31"/>
    </sheetView>
  </sheetViews>
  <sheetFormatPr baseColWidth="10" defaultRowHeight="15" x14ac:dyDescent="0.25"/>
  <cols>
    <col min="1" max="1" width="1.7109375" customWidth="1"/>
    <col min="2" max="2" width="5.85546875" style="3" customWidth="1"/>
    <col min="3" max="3" width="52.5703125" customWidth="1"/>
    <col min="4" max="8" width="11.42578125" style="2" customWidth="1"/>
  </cols>
  <sheetData>
    <row r="1" spans="1:15" ht="23.25" x14ac:dyDescent="0.35">
      <c r="A1" s="8" t="s">
        <v>131</v>
      </c>
    </row>
    <row r="2" spans="1:15" x14ac:dyDescent="0.25">
      <c r="A2" s="7"/>
    </row>
    <row r="3" spans="1:15" ht="3" customHeight="1" x14ac:dyDescent="0.25">
      <c r="A3" s="7"/>
      <c r="E3"/>
      <c r="F3"/>
      <c r="G3"/>
      <c r="H3"/>
    </row>
    <row r="4" spans="1:15" ht="12.75" customHeight="1" x14ac:dyDescent="0.25">
      <c r="H4" s="6" t="s">
        <v>116</v>
      </c>
    </row>
    <row r="5" spans="1:15" ht="12.75" customHeight="1" thickBot="1" x14ac:dyDescent="0.3">
      <c r="D5" s="176" t="s">
        <v>115</v>
      </c>
      <c r="E5" s="22" t="s">
        <v>114</v>
      </c>
      <c r="F5" s="23"/>
      <c r="G5" s="24"/>
      <c r="H5" s="174" t="s">
        <v>343</v>
      </c>
    </row>
    <row r="6" spans="1:15" ht="26.25" customHeight="1" thickTop="1" thickBot="1" x14ac:dyDescent="0.3">
      <c r="B6"/>
      <c r="D6" s="177"/>
      <c r="E6" s="25" t="s">
        <v>113</v>
      </c>
      <c r="F6" s="26" t="s">
        <v>112</v>
      </c>
      <c r="G6" s="27" t="s">
        <v>0</v>
      </c>
      <c r="H6" s="178"/>
    </row>
    <row r="7" spans="1:15" ht="12.75" customHeight="1" thickBot="1" x14ac:dyDescent="0.3">
      <c r="B7" s="55" t="s">
        <v>180</v>
      </c>
      <c r="C7" s="56"/>
      <c r="D7" s="61">
        <f>D8+D11+D13</f>
        <v>0</v>
      </c>
      <c r="E7" s="62">
        <f>E8+E11+E13</f>
        <v>1227000000</v>
      </c>
      <c r="F7" s="52">
        <f>F8+F11+F13</f>
        <v>1000000000</v>
      </c>
      <c r="G7" s="63">
        <f>G8+G11+G13</f>
        <v>1514000000</v>
      </c>
      <c r="H7" s="53">
        <f>H8+H11+H13</f>
        <v>3741000000</v>
      </c>
      <c r="K7" s="2"/>
      <c r="L7" s="2"/>
      <c r="M7" s="2"/>
      <c r="N7" s="2"/>
      <c r="O7" s="4"/>
    </row>
    <row r="8" spans="1:15" ht="12.75" customHeight="1" x14ac:dyDescent="0.25">
      <c r="B8" s="49" t="s">
        <v>13</v>
      </c>
      <c r="C8" s="54"/>
      <c r="D8" s="50">
        <f>SUM(D9:D9)</f>
        <v>0</v>
      </c>
      <c r="E8" s="57">
        <f>SUM(E9:E10)</f>
        <v>1227000000</v>
      </c>
      <c r="F8" s="50">
        <f>SUM(F9:F10)</f>
        <v>1000000000</v>
      </c>
      <c r="G8" s="58">
        <f>SUM(G9:G10)</f>
        <v>0</v>
      </c>
      <c r="H8" s="50">
        <f>SUM(H9:H10)</f>
        <v>2227000000</v>
      </c>
      <c r="K8" s="2"/>
      <c r="L8" s="2"/>
      <c r="M8" s="2"/>
      <c r="N8" s="2"/>
      <c r="O8" s="4"/>
    </row>
    <row r="9" spans="1:15" s="1" customFormat="1" ht="12.75" customHeight="1" x14ac:dyDescent="0.25">
      <c r="B9" s="43">
        <v>1601</v>
      </c>
      <c r="C9" s="100" t="s">
        <v>344</v>
      </c>
      <c r="D9" s="16">
        <v>0</v>
      </c>
      <c r="E9" s="59">
        <v>1227000000</v>
      </c>
      <c r="F9" s="16">
        <v>0</v>
      </c>
      <c r="G9" s="60">
        <v>0</v>
      </c>
      <c r="H9" s="16">
        <f>SUM(E9:G9)</f>
        <v>1227000000</v>
      </c>
      <c r="M9" s="34"/>
      <c r="O9" s="34"/>
    </row>
    <row r="10" spans="1:15" s="1" customFormat="1" ht="12.75" customHeight="1" x14ac:dyDescent="0.25">
      <c r="B10" s="43">
        <v>1601</v>
      </c>
      <c r="C10" s="100" t="s">
        <v>387</v>
      </c>
      <c r="D10" s="125">
        <v>0</v>
      </c>
      <c r="E10" s="71">
        <v>0</v>
      </c>
      <c r="F10" s="125">
        <v>1000000000</v>
      </c>
      <c r="G10" s="60">
        <v>0</v>
      </c>
      <c r="H10" s="125">
        <f>SUM(E10:G10)</f>
        <v>1000000000</v>
      </c>
      <c r="M10" s="34"/>
      <c r="O10" s="34"/>
    </row>
    <row r="11" spans="1:15" s="1" customFormat="1" ht="12.75" customHeight="1" x14ac:dyDescent="0.25">
      <c r="B11" s="114" t="s">
        <v>30</v>
      </c>
      <c r="C11" s="115"/>
      <c r="D11" s="110">
        <f>SUM(D12:D12)</f>
        <v>0</v>
      </c>
      <c r="E11" s="116">
        <f>SUM(E12:E12)</f>
        <v>0</v>
      </c>
      <c r="F11" s="110">
        <f>SUM(F12:F12)</f>
        <v>0</v>
      </c>
      <c r="G11" s="117">
        <f>SUM(G12:G12)</f>
        <v>591000000</v>
      </c>
      <c r="H11" s="110">
        <f>SUM(H12:H12)</f>
        <v>591000000</v>
      </c>
      <c r="K11" s="118"/>
      <c r="L11" s="118"/>
      <c r="M11" s="118"/>
      <c r="N11" s="118"/>
      <c r="O11" s="34"/>
    </row>
    <row r="12" spans="1:15" s="1" customFormat="1" ht="12.75" customHeight="1" x14ac:dyDescent="0.25">
      <c r="B12" s="43">
        <v>1501</v>
      </c>
      <c r="C12" s="100" t="s">
        <v>345</v>
      </c>
      <c r="D12" s="16">
        <v>0</v>
      </c>
      <c r="E12" s="59">
        <v>0</v>
      </c>
      <c r="F12" s="16">
        <v>0</v>
      </c>
      <c r="G12" s="60">
        <v>591000000</v>
      </c>
      <c r="H12" s="16">
        <f>SUM(E12:G12)</f>
        <v>591000000</v>
      </c>
      <c r="M12" s="34"/>
      <c r="O12" s="34"/>
    </row>
    <row r="13" spans="1:15" ht="12.75" customHeight="1" x14ac:dyDescent="0.25">
      <c r="B13" s="66" t="s">
        <v>108</v>
      </c>
      <c r="C13" s="67"/>
      <c r="D13" s="42">
        <f t="shared" ref="D13:G13" si="0">SUM(D14:D17)</f>
        <v>0</v>
      </c>
      <c r="E13" s="68">
        <f t="shared" si="0"/>
        <v>0</v>
      </c>
      <c r="F13" s="42">
        <f t="shared" si="0"/>
        <v>0</v>
      </c>
      <c r="G13" s="69">
        <f t="shared" si="0"/>
        <v>923000000</v>
      </c>
      <c r="H13" s="20">
        <f>SUM(H14:H17)</f>
        <v>923000000</v>
      </c>
      <c r="K13" s="2"/>
      <c r="L13" s="2"/>
      <c r="M13" s="2"/>
      <c r="N13" s="2"/>
      <c r="O13" s="4"/>
    </row>
    <row r="14" spans="1:15" ht="12.75" customHeight="1" x14ac:dyDescent="0.25">
      <c r="B14" s="112">
        <v>1753</v>
      </c>
      <c r="C14" s="113" t="s">
        <v>346</v>
      </c>
      <c r="D14" s="35">
        <v>0</v>
      </c>
      <c r="E14" s="64">
        <v>0</v>
      </c>
      <c r="F14" s="35">
        <v>0</v>
      </c>
      <c r="G14" s="65">
        <v>-2800000000</v>
      </c>
      <c r="H14" s="16">
        <f>SUM(E14:G14)</f>
        <v>-2800000000</v>
      </c>
      <c r="M14" s="4"/>
      <c r="O14" s="4"/>
    </row>
    <row r="15" spans="1:15" ht="12.75" customHeight="1" x14ac:dyDescent="0.25">
      <c r="B15" s="10">
        <v>1797</v>
      </c>
      <c r="C15" s="11" t="s">
        <v>347</v>
      </c>
      <c r="D15" s="16">
        <v>0</v>
      </c>
      <c r="E15" s="59">
        <v>0</v>
      </c>
      <c r="F15" s="16">
        <v>0</v>
      </c>
      <c r="G15" s="60">
        <v>528000000</v>
      </c>
      <c r="H15" s="16">
        <f t="shared" ref="H15:H16" si="1">SUM(E15:G15)</f>
        <v>528000000</v>
      </c>
      <c r="M15" s="4"/>
      <c r="O15" s="4"/>
    </row>
    <row r="16" spans="1:15" ht="12.75" customHeight="1" x14ac:dyDescent="0.25">
      <c r="B16" s="10">
        <v>1799</v>
      </c>
      <c r="C16" s="11" t="s">
        <v>349</v>
      </c>
      <c r="D16" s="16">
        <v>0</v>
      </c>
      <c r="E16" s="59">
        <v>0</v>
      </c>
      <c r="F16" s="16">
        <v>0</v>
      </c>
      <c r="G16" s="60">
        <v>2985000000</v>
      </c>
      <c r="H16" s="16">
        <f t="shared" si="1"/>
        <v>2985000000</v>
      </c>
      <c r="M16" s="4"/>
      <c r="O16" s="4"/>
    </row>
    <row r="17" spans="2:15" ht="12.75" customHeight="1" x14ac:dyDescent="0.25">
      <c r="B17" s="70">
        <v>1799</v>
      </c>
      <c r="C17" s="9" t="s">
        <v>348</v>
      </c>
      <c r="D17" s="19">
        <v>0</v>
      </c>
      <c r="E17" s="71">
        <v>0</v>
      </c>
      <c r="F17" s="19">
        <v>0</v>
      </c>
      <c r="G17" s="72">
        <v>210000000</v>
      </c>
      <c r="H17" s="19">
        <f>SUM(E17:G17)</f>
        <v>210000000</v>
      </c>
      <c r="M17" s="4"/>
      <c r="O17" s="4"/>
    </row>
  </sheetData>
  <mergeCells count="2">
    <mergeCell ref="D5:D6"/>
    <mergeCell ref="H5:H6"/>
  </mergeCells>
  <conditionalFormatting sqref="D7:H7 D12:F12 H12 D9:H9 D10 H10 F10">
    <cfRule type="expression" dxfId="440" priority="35">
      <formula>$D7="NonPrisEnCompte"</formula>
    </cfRule>
  </conditionalFormatting>
  <conditionalFormatting sqref="D8:H8">
    <cfRule type="expression" dxfId="439" priority="20">
      <formula>$D8="NonPrisEnCompte"</formula>
    </cfRule>
  </conditionalFormatting>
  <conditionalFormatting sqref="D17:H17 D14:D16 F14:G16">
    <cfRule type="expression" dxfId="438" priority="19">
      <formula>$D14="NonPrisEnCompte"</formula>
    </cfRule>
  </conditionalFormatting>
  <conditionalFormatting sqref="D11:H11">
    <cfRule type="expression" dxfId="437" priority="18">
      <formula>$D11="NonPrisEnCompte"</formula>
    </cfRule>
  </conditionalFormatting>
  <conditionalFormatting sqref="D13:G13">
    <cfRule type="expression" dxfId="436" priority="17">
      <formula>$D13="NonPrisEnCompte"</formula>
    </cfRule>
  </conditionalFormatting>
  <conditionalFormatting sqref="G12">
    <cfRule type="expression" dxfId="435" priority="16">
      <formula>$D12="NonPrisEnCompte"</formula>
    </cfRule>
  </conditionalFormatting>
  <conditionalFormatting sqref="E14:E16">
    <cfRule type="expression" dxfId="434" priority="15">
      <formula>$D14="NonPrisEnCompte"</formula>
    </cfRule>
  </conditionalFormatting>
  <conditionalFormatting sqref="H14">
    <cfRule type="expression" dxfId="433" priority="7">
      <formula>$D14="NonPrisEnCompte"</formula>
    </cfRule>
  </conditionalFormatting>
  <conditionalFormatting sqref="H13">
    <cfRule type="expression" dxfId="432" priority="6">
      <formula>$D13="NonPrisEnCompte"</formula>
    </cfRule>
  </conditionalFormatting>
  <conditionalFormatting sqref="H15:H16">
    <cfRule type="expression" dxfId="431" priority="5">
      <formula>$D15="NonPrisEnCompte"</formula>
    </cfRule>
  </conditionalFormatting>
  <conditionalFormatting sqref="G10">
    <cfRule type="expression" dxfId="430" priority="2">
      <formula>$D10="NonPrisEnCompte"</formula>
    </cfRule>
  </conditionalFormatting>
  <conditionalFormatting sqref="E10">
    <cfRule type="expression" dxfId="429" priority="1">
      <formula>$D10="NonPrisEnCompte"</formula>
    </cfRule>
  </conditionalFormatting>
  <pageMargins left="0.7" right="0.7" top="0.75" bottom="0.75" header="0.3" footer="0.3"/>
  <pageSetup paperSize="9" scale="7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8" tint="-0.499984740745262"/>
  </sheetPr>
  <dimension ref="A1"/>
  <sheetViews>
    <sheetView showGridLines="0" workbookViewId="0">
      <selection activeCell="H25" sqref="H25"/>
    </sheetView>
  </sheetViews>
  <sheetFormatPr baseColWidth="10" defaultRowHeight="15" x14ac:dyDescent="0.25"/>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59E1A4-A339-4E32-9A43-D805E3B7B6B1}">
  <sheetPr>
    <pageSetUpPr fitToPage="1"/>
  </sheetPr>
  <dimension ref="A1:N75"/>
  <sheetViews>
    <sheetView showGridLines="0" zoomScale="85" zoomScaleNormal="85" workbookViewId="0">
      <pane xSplit="3" ySplit="5" topLeftCell="D6" activePane="bottomRight" state="frozen"/>
      <selection activeCell="AR32" sqref="AR32"/>
      <selection pane="topRight" activeCell="AR32" sqref="AR32"/>
      <selection pane="bottomLeft" activeCell="AR32" sqref="AR32"/>
      <selection pane="bottomRight"/>
    </sheetView>
  </sheetViews>
  <sheetFormatPr baseColWidth="10" defaultRowHeight="15" x14ac:dyDescent="0.25"/>
  <cols>
    <col min="1" max="1" width="1.7109375" customWidth="1"/>
    <col min="2" max="2" width="8.140625" style="78" customWidth="1"/>
    <col min="3" max="3" width="71.7109375" style="78" bestFit="1" customWidth="1"/>
    <col min="4" max="4" width="13.5703125" style="77" customWidth="1"/>
    <col min="5" max="6" width="13.5703125" style="77" customWidth="1" collapsed="1"/>
    <col min="7" max="10" width="13.5703125" style="77" customWidth="1"/>
    <col min="11" max="11" width="13.5703125" style="77" customWidth="1" collapsed="1"/>
  </cols>
  <sheetData>
    <row r="1" spans="1:14" ht="23.25" x14ac:dyDescent="0.35">
      <c r="A1" s="98" t="s">
        <v>253</v>
      </c>
    </row>
    <row r="2" spans="1:14" ht="12.75" customHeight="1" x14ac:dyDescent="0.25">
      <c r="A2" s="79"/>
      <c r="C2" s="97"/>
      <c r="D2" s="96"/>
      <c r="E2" s="96"/>
      <c r="F2" s="96"/>
      <c r="G2" s="96"/>
      <c r="H2" s="96"/>
      <c r="I2" s="96"/>
      <c r="J2" s="96"/>
      <c r="K2" s="96"/>
    </row>
    <row r="3" spans="1:14" x14ac:dyDescent="0.25">
      <c r="K3" s="79" t="s">
        <v>116</v>
      </c>
    </row>
    <row r="4" spans="1:14" ht="15.75" customHeight="1" thickBot="1" x14ac:dyDescent="0.3">
      <c r="B4" s="179" t="s">
        <v>158</v>
      </c>
      <c r="C4" s="180" t="s">
        <v>147</v>
      </c>
      <c r="D4" s="181" t="s">
        <v>329</v>
      </c>
      <c r="E4" s="181" t="s">
        <v>330</v>
      </c>
      <c r="F4" s="181" t="s">
        <v>331</v>
      </c>
      <c r="G4" s="95" t="s">
        <v>332</v>
      </c>
      <c r="H4" s="95"/>
      <c r="I4" s="95"/>
      <c r="J4" s="95"/>
      <c r="K4" s="179" t="s">
        <v>333</v>
      </c>
    </row>
    <row r="5" spans="1:14" ht="51" customHeight="1" thickBot="1" x14ac:dyDescent="0.3">
      <c r="B5" s="179"/>
      <c r="C5" s="180"/>
      <c r="D5" s="181"/>
      <c r="E5" s="181"/>
      <c r="F5" s="181"/>
      <c r="G5" s="94" t="s">
        <v>146</v>
      </c>
      <c r="H5" s="93" t="s">
        <v>145</v>
      </c>
      <c r="I5" s="93" t="s">
        <v>132</v>
      </c>
      <c r="J5" s="92" t="s">
        <v>144</v>
      </c>
      <c r="K5" s="179"/>
    </row>
    <row r="6" spans="1:14" ht="12.75" customHeight="1" thickBot="1" x14ac:dyDescent="0.3">
      <c r="B6" s="91"/>
      <c r="C6" s="90" t="s">
        <v>252</v>
      </c>
      <c r="D6" s="37">
        <f t="shared" ref="D6:K6" si="0">D8+D13+D22+D30+D40+D51</f>
        <v>25138915235</v>
      </c>
      <c r="E6" s="37">
        <f t="shared" si="0"/>
        <v>22703930278</v>
      </c>
      <c r="F6" s="37">
        <f>F8+F13+F22+F30+F40+F51</f>
        <v>23396639517</v>
      </c>
      <c r="G6" s="37">
        <f>G8+G13+G22+G30+G40+G51</f>
        <v>-2848091305</v>
      </c>
      <c r="H6" s="37">
        <f t="shared" si="0"/>
        <v>0</v>
      </c>
      <c r="I6" s="37">
        <f t="shared" si="0"/>
        <v>0</v>
      </c>
      <c r="J6" s="37">
        <f t="shared" si="0"/>
        <v>0</v>
      </c>
      <c r="K6" s="38">
        <f t="shared" si="0"/>
        <v>20548548212</v>
      </c>
    </row>
    <row r="7" spans="1:14" ht="3" customHeight="1" x14ac:dyDescent="0.25">
      <c r="B7" s="89"/>
      <c r="C7" s="89"/>
      <c r="D7" s="17"/>
      <c r="E7" s="17"/>
      <c r="F7" s="17"/>
      <c r="G7" s="17"/>
      <c r="H7" s="17"/>
      <c r="I7" s="17"/>
      <c r="J7" s="17"/>
      <c r="K7" s="17"/>
    </row>
    <row r="8" spans="1:14" ht="12.75" customHeight="1" x14ac:dyDescent="0.25">
      <c r="B8" s="83">
        <v>21</v>
      </c>
      <c r="C8" s="83" t="s">
        <v>251</v>
      </c>
      <c r="D8" s="42">
        <f t="shared" ref="D8:K8" si="1">SUM(D9:D11)</f>
        <v>3870401948</v>
      </c>
      <c r="E8" s="42">
        <f t="shared" si="1"/>
        <v>3154700000</v>
      </c>
      <c r="F8" s="42">
        <f t="shared" si="1"/>
        <v>4749817225</v>
      </c>
      <c r="G8" s="42">
        <f t="shared" si="1"/>
        <v>1203140910</v>
      </c>
      <c r="H8" s="42">
        <f t="shared" si="1"/>
        <v>0</v>
      </c>
      <c r="I8" s="42">
        <f t="shared" si="1"/>
        <v>0</v>
      </c>
      <c r="J8" s="42">
        <f t="shared" si="1"/>
        <v>0</v>
      </c>
      <c r="K8" s="42">
        <f t="shared" si="1"/>
        <v>5952958135</v>
      </c>
    </row>
    <row r="9" spans="1:14" ht="12.75" customHeight="1" x14ac:dyDescent="0.25">
      <c r="B9" s="82">
        <v>2110</v>
      </c>
      <c r="C9" s="81" t="s">
        <v>250</v>
      </c>
      <c r="D9" s="35">
        <v>1599739436</v>
      </c>
      <c r="E9" s="35">
        <v>1578700000</v>
      </c>
      <c r="F9" s="35">
        <v>1539075190</v>
      </c>
      <c r="G9" s="35">
        <f>K9-F9-H9-I9-J9</f>
        <v>-72475190</v>
      </c>
      <c r="H9" s="35">
        <v>0</v>
      </c>
      <c r="I9" s="35">
        <v>0</v>
      </c>
      <c r="J9" s="35">
        <v>0</v>
      </c>
      <c r="K9" s="35">
        <v>1466600000</v>
      </c>
    </row>
    <row r="10" spans="1:14" ht="12.75" customHeight="1" x14ac:dyDescent="0.25">
      <c r="B10" s="82">
        <v>2116</v>
      </c>
      <c r="C10" s="81" t="s">
        <v>249</v>
      </c>
      <c r="D10" s="16">
        <v>2255880377</v>
      </c>
      <c r="E10" s="16">
        <v>1576000000</v>
      </c>
      <c r="F10" s="16">
        <v>2352259900</v>
      </c>
      <c r="G10" s="16">
        <f>K10-F10-H10-I10-J10</f>
        <v>2119316100</v>
      </c>
      <c r="H10" s="16">
        <v>0</v>
      </c>
      <c r="I10" s="16">
        <v>0</v>
      </c>
      <c r="J10" s="16">
        <v>0</v>
      </c>
      <c r="K10" s="16">
        <v>4471576000</v>
      </c>
    </row>
    <row r="11" spans="1:14" ht="12.75" customHeight="1" x14ac:dyDescent="0.25">
      <c r="B11" s="80">
        <v>2199</v>
      </c>
      <c r="C11" s="80" t="s">
        <v>248</v>
      </c>
      <c r="D11" s="19">
        <v>14782135</v>
      </c>
      <c r="E11" s="19">
        <v>0</v>
      </c>
      <c r="F11" s="19">
        <v>858482135</v>
      </c>
      <c r="G11" s="19">
        <f>K11-F11-H11-I11-J11</f>
        <v>-843700000</v>
      </c>
      <c r="H11" s="19">
        <v>0</v>
      </c>
      <c r="I11" s="19">
        <v>0</v>
      </c>
      <c r="J11" s="19">
        <v>0</v>
      </c>
      <c r="K11" s="19">
        <v>14782135</v>
      </c>
    </row>
    <row r="12" spans="1:14" ht="3" customHeight="1" x14ac:dyDescent="0.25">
      <c r="B12" s="84"/>
      <c r="C12" s="84"/>
      <c r="D12" s="16"/>
      <c r="E12" s="16"/>
      <c r="F12" s="16"/>
      <c r="G12" s="16"/>
      <c r="H12" s="16"/>
      <c r="I12" s="16"/>
      <c r="J12" s="16"/>
      <c r="K12" s="16"/>
    </row>
    <row r="13" spans="1:14" ht="12.75" customHeight="1" x14ac:dyDescent="0.25">
      <c r="B13" s="83">
        <v>22</v>
      </c>
      <c r="C13" s="83" t="s">
        <v>247</v>
      </c>
      <c r="D13" s="42">
        <f t="shared" ref="D13:K13" si="2">SUM(D14:D20)</f>
        <v>1162786281</v>
      </c>
      <c r="E13" s="42">
        <f t="shared" si="2"/>
        <v>1745107200</v>
      </c>
      <c r="F13" s="42">
        <f t="shared" si="2"/>
        <v>1553389632</v>
      </c>
      <c r="G13" s="42">
        <f t="shared" si="2"/>
        <v>70291296</v>
      </c>
      <c r="H13" s="42">
        <f t="shared" si="2"/>
        <v>0</v>
      </c>
      <c r="I13" s="42">
        <f t="shared" si="2"/>
        <v>0</v>
      </c>
      <c r="J13" s="42">
        <f t="shared" si="2"/>
        <v>0</v>
      </c>
      <c r="K13" s="42">
        <f t="shared" si="2"/>
        <v>1623680928</v>
      </c>
      <c r="N13" s="88"/>
    </row>
    <row r="14" spans="1:14" ht="12.75" customHeight="1" x14ac:dyDescent="0.25">
      <c r="B14" s="82">
        <v>2201</v>
      </c>
      <c r="C14" s="81" t="s">
        <v>246</v>
      </c>
      <c r="D14" s="35">
        <v>472048926</v>
      </c>
      <c r="E14" s="35">
        <v>1025000000</v>
      </c>
      <c r="F14" s="35">
        <v>851048926</v>
      </c>
      <c r="G14" s="35">
        <f t="shared" ref="G14:G20" si="3">K14-F14-H14-I14-J14</f>
        <v>60000000</v>
      </c>
      <c r="H14" s="35">
        <v>0</v>
      </c>
      <c r="I14" s="35">
        <v>0</v>
      </c>
      <c r="J14" s="35">
        <v>0</v>
      </c>
      <c r="K14" s="35">
        <v>911048926</v>
      </c>
      <c r="N14" s="88"/>
    </row>
    <row r="15" spans="1:14" ht="12.75" customHeight="1" x14ac:dyDescent="0.25">
      <c r="B15" s="82">
        <v>2202</v>
      </c>
      <c r="C15" s="81" t="s">
        <v>245</v>
      </c>
      <c r="D15" s="16">
        <v>10062136</v>
      </c>
      <c r="E15" s="16">
        <v>7989520</v>
      </c>
      <c r="F15" s="16">
        <v>10384627</v>
      </c>
      <c r="G15" s="16">
        <f t="shared" si="3"/>
        <v>278790</v>
      </c>
      <c r="H15" s="16">
        <v>0</v>
      </c>
      <c r="I15" s="16">
        <v>0</v>
      </c>
      <c r="J15" s="16">
        <v>0</v>
      </c>
      <c r="K15" s="16">
        <v>10663417</v>
      </c>
      <c r="N15" s="88"/>
    </row>
    <row r="16" spans="1:14" ht="12.75" customHeight="1" x14ac:dyDescent="0.25">
      <c r="B16" s="82">
        <v>2203</v>
      </c>
      <c r="C16" s="81" t="s">
        <v>244</v>
      </c>
      <c r="D16" s="16">
        <v>360036278</v>
      </c>
      <c r="E16" s="16">
        <v>293117680</v>
      </c>
      <c r="F16" s="16">
        <v>371575444</v>
      </c>
      <c r="G16" s="16">
        <f t="shared" si="3"/>
        <v>9975441</v>
      </c>
      <c r="H16" s="16">
        <v>0</v>
      </c>
      <c r="I16" s="16">
        <v>0</v>
      </c>
      <c r="J16" s="16">
        <v>0</v>
      </c>
      <c r="K16" s="16">
        <v>381550885</v>
      </c>
      <c r="N16" s="88"/>
    </row>
    <row r="17" spans="2:14" ht="12.75" customHeight="1" x14ac:dyDescent="0.25">
      <c r="B17" s="82">
        <v>2204</v>
      </c>
      <c r="C17" s="81" t="s">
        <v>243</v>
      </c>
      <c r="D17" s="16">
        <v>319291345</v>
      </c>
      <c r="E17" s="16">
        <v>417000000</v>
      </c>
      <c r="F17" s="16">
        <v>319000000</v>
      </c>
      <c r="G17" s="16">
        <f t="shared" si="3"/>
        <v>0</v>
      </c>
      <c r="H17" s="16">
        <v>0</v>
      </c>
      <c r="I17" s="16">
        <v>0</v>
      </c>
      <c r="J17" s="16">
        <v>0</v>
      </c>
      <c r="K17" s="16">
        <v>319000000</v>
      </c>
      <c r="N17" s="88"/>
    </row>
    <row r="18" spans="2:14" ht="12.75" customHeight="1" x14ac:dyDescent="0.25">
      <c r="B18" s="82">
        <v>2209</v>
      </c>
      <c r="C18" s="81" t="s">
        <v>242</v>
      </c>
      <c r="D18" s="16">
        <v>0</v>
      </c>
      <c r="E18" s="16">
        <v>0</v>
      </c>
      <c r="F18" s="16">
        <v>0</v>
      </c>
      <c r="G18" s="16">
        <f t="shared" si="3"/>
        <v>0</v>
      </c>
      <c r="H18" s="16">
        <v>0</v>
      </c>
      <c r="I18" s="16">
        <v>0</v>
      </c>
      <c r="J18" s="16">
        <v>0</v>
      </c>
      <c r="K18" s="16">
        <v>0</v>
      </c>
      <c r="N18" s="88"/>
    </row>
    <row r="19" spans="2:14" ht="12.75" customHeight="1" x14ac:dyDescent="0.25">
      <c r="B19" s="82">
        <v>2212</v>
      </c>
      <c r="C19" s="81" t="s">
        <v>241</v>
      </c>
      <c r="D19" s="16">
        <v>9836</v>
      </c>
      <c r="E19" s="16">
        <v>0</v>
      </c>
      <c r="F19" s="16">
        <v>0</v>
      </c>
      <c r="G19" s="16">
        <f t="shared" si="3"/>
        <v>0</v>
      </c>
      <c r="H19" s="16">
        <v>0</v>
      </c>
      <c r="I19" s="16">
        <v>0</v>
      </c>
      <c r="J19" s="16">
        <v>0</v>
      </c>
      <c r="K19" s="16">
        <v>0</v>
      </c>
      <c r="N19" s="88"/>
    </row>
    <row r="20" spans="2:14" ht="12.75" customHeight="1" x14ac:dyDescent="0.25">
      <c r="B20" s="80">
        <v>2299</v>
      </c>
      <c r="C20" s="80" t="s">
        <v>240</v>
      </c>
      <c r="D20" s="19">
        <v>1337760</v>
      </c>
      <c r="E20" s="19">
        <v>2000000</v>
      </c>
      <c r="F20" s="19">
        <v>1380635</v>
      </c>
      <c r="G20" s="19">
        <f t="shared" si="3"/>
        <v>37065</v>
      </c>
      <c r="H20" s="19">
        <v>0</v>
      </c>
      <c r="I20" s="19">
        <v>0</v>
      </c>
      <c r="J20" s="19">
        <v>0</v>
      </c>
      <c r="K20" s="19">
        <v>1417700</v>
      </c>
      <c r="N20" s="88"/>
    </row>
    <row r="21" spans="2:14" ht="3" customHeight="1" x14ac:dyDescent="0.25">
      <c r="B21" s="84"/>
      <c r="C21" s="84"/>
      <c r="D21" s="16"/>
      <c r="E21" s="16"/>
      <c r="F21" s="16"/>
      <c r="G21" s="16"/>
      <c r="H21" s="16"/>
      <c r="I21" s="16"/>
      <c r="J21" s="16"/>
      <c r="K21" s="16"/>
    </row>
    <row r="22" spans="2:14" ht="12.75" customHeight="1" x14ac:dyDescent="0.25">
      <c r="B22" s="83">
        <v>23</v>
      </c>
      <c r="C22" s="83" t="s">
        <v>239</v>
      </c>
      <c r="D22" s="42">
        <f t="shared" ref="D22:K22" si="4">SUM(D23:D28)</f>
        <v>3137611484</v>
      </c>
      <c r="E22" s="42">
        <f t="shared" si="4"/>
        <v>3543928718</v>
      </c>
      <c r="F22" s="42">
        <f t="shared" si="4"/>
        <v>2597573264</v>
      </c>
      <c r="G22" s="42">
        <f t="shared" si="4"/>
        <v>-57017030</v>
      </c>
      <c r="H22" s="42">
        <f t="shared" si="4"/>
        <v>0</v>
      </c>
      <c r="I22" s="42">
        <f t="shared" si="4"/>
        <v>0</v>
      </c>
      <c r="J22" s="42">
        <f t="shared" si="4"/>
        <v>0</v>
      </c>
      <c r="K22" s="42">
        <f t="shared" si="4"/>
        <v>2540556234</v>
      </c>
    </row>
    <row r="23" spans="2:14" ht="12.75" customHeight="1" x14ac:dyDescent="0.25">
      <c r="B23" s="82">
        <v>2301</v>
      </c>
      <c r="C23" s="81" t="s">
        <v>238</v>
      </c>
      <c r="D23" s="35">
        <v>654321704</v>
      </c>
      <c r="E23" s="35">
        <v>778000000</v>
      </c>
      <c r="F23" s="35">
        <v>632027240</v>
      </c>
      <c r="G23" s="35">
        <f t="shared" ref="G23:G28" si="5">K23-F23-H23-I23-J23</f>
        <v>34574418</v>
      </c>
      <c r="H23" s="35">
        <v>0</v>
      </c>
      <c r="I23" s="35">
        <v>0</v>
      </c>
      <c r="J23" s="35">
        <v>0</v>
      </c>
      <c r="K23" s="35">
        <v>666601658</v>
      </c>
    </row>
    <row r="24" spans="2:14" ht="12.75" customHeight="1" x14ac:dyDescent="0.25">
      <c r="B24" s="82">
        <v>2303</v>
      </c>
      <c r="C24" s="81" t="s">
        <v>237</v>
      </c>
      <c r="D24" s="16">
        <v>1025147230</v>
      </c>
      <c r="E24" s="16">
        <v>1101058634</v>
      </c>
      <c r="F24" s="16">
        <v>1061144531</v>
      </c>
      <c r="G24" s="16">
        <f t="shared" si="5"/>
        <v>25262192</v>
      </c>
      <c r="H24" s="16">
        <v>0</v>
      </c>
      <c r="I24" s="16">
        <v>0</v>
      </c>
      <c r="J24" s="16">
        <v>0</v>
      </c>
      <c r="K24" s="16">
        <v>1086406723</v>
      </c>
    </row>
    <row r="25" spans="2:14" ht="12.75" customHeight="1" x14ac:dyDescent="0.25">
      <c r="B25" s="82">
        <v>2304</v>
      </c>
      <c r="C25" s="81" t="s">
        <v>236</v>
      </c>
      <c r="D25" s="16">
        <v>35169884</v>
      </c>
      <c r="E25" s="16">
        <v>52013515</v>
      </c>
      <c r="F25" s="16">
        <v>36404849</v>
      </c>
      <c r="G25" s="16">
        <f t="shared" si="5"/>
        <v>866674</v>
      </c>
      <c r="H25" s="16">
        <v>0</v>
      </c>
      <c r="I25" s="16">
        <v>0</v>
      </c>
      <c r="J25" s="16">
        <v>0</v>
      </c>
      <c r="K25" s="16">
        <v>37271523</v>
      </c>
    </row>
    <row r="26" spans="2:14" ht="12.75" customHeight="1" x14ac:dyDescent="0.25">
      <c r="B26" s="82">
        <v>2305</v>
      </c>
      <c r="C26" s="81" t="s">
        <v>235</v>
      </c>
      <c r="D26" s="16">
        <v>16227</v>
      </c>
      <c r="E26" s="16">
        <v>67669</v>
      </c>
      <c r="F26" s="16">
        <v>16797</v>
      </c>
      <c r="G26" s="16">
        <f t="shared" si="5"/>
        <v>400</v>
      </c>
      <c r="H26" s="16">
        <v>0</v>
      </c>
      <c r="I26" s="16">
        <v>0</v>
      </c>
      <c r="J26" s="16">
        <v>0</v>
      </c>
      <c r="K26" s="16">
        <v>17197</v>
      </c>
    </row>
    <row r="27" spans="2:14" ht="12.75" customHeight="1" x14ac:dyDescent="0.25">
      <c r="B27" s="82">
        <v>2306</v>
      </c>
      <c r="C27" s="81" t="s">
        <v>234</v>
      </c>
      <c r="D27" s="16">
        <v>3382613</v>
      </c>
      <c r="E27" s="16">
        <v>4788900</v>
      </c>
      <c r="F27" s="16">
        <v>3501391</v>
      </c>
      <c r="G27" s="16">
        <f t="shared" si="5"/>
        <v>83356</v>
      </c>
      <c r="H27" s="16">
        <v>0</v>
      </c>
      <c r="I27" s="16">
        <v>0</v>
      </c>
      <c r="J27" s="16">
        <v>0</v>
      </c>
      <c r="K27" s="16">
        <v>3584747</v>
      </c>
    </row>
    <row r="28" spans="2:14" ht="12.75" customHeight="1" x14ac:dyDescent="0.25">
      <c r="B28" s="80">
        <v>2399</v>
      </c>
      <c r="C28" s="80" t="s">
        <v>233</v>
      </c>
      <c r="D28" s="19">
        <v>1419573826</v>
      </c>
      <c r="E28" s="19">
        <v>1608000000</v>
      </c>
      <c r="F28" s="19">
        <v>864478456</v>
      </c>
      <c r="G28" s="19">
        <f t="shared" si="5"/>
        <v>-117804070</v>
      </c>
      <c r="H28" s="19">
        <v>0</v>
      </c>
      <c r="I28" s="19">
        <v>0</v>
      </c>
      <c r="J28" s="19">
        <v>0</v>
      </c>
      <c r="K28" s="19">
        <v>746674386</v>
      </c>
    </row>
    <row r="29" spans="2:14" ht="3" customHeight="1" x14ac:dyDescent="0.25">
      <c r="B29" s="84"/>
      <c r="C29" s="84"/>
      <c r="D29" s="16"/>
      <c r="E29" s="16"/>
      <c r="F29" s="16"/>
      <c r="G29" s="16"/>
      <c r="H29" s="16"/>
      <c r="I29" s="16"/>
      <c r="J29" s="16"/>
      <c r="K29" s="16"/>
    </row>
    <row r="30" spans="2:14" ht="12.75" customHeight="1" x14ac:dyDescent="0.25">
      <c r="B30" s="83">
        <v>24</v>
      </c>
      <c r="C30" s="83" t="s">
        <v>232</v>
      </c>
      <c r="D30" s="42">
        <f t="shared" ref="D30:K30" si="6">SUM(D31:D38)</f>
        <v>740572995</v>
      </c>
      <c r="E30" s="42">
        <f t="shared" si="6"/>
        <v>1181753301</v>
      </c>
      <c r="F30" s="42">
        <f t="shared" si="6"/>
        <v>1193837865</v>
      </c>
      <c r="G30" s="42">
        <f t="shared" si="6"/>
        <v>73413854</v>
      </c>
      <c r="H30" s="42">
        <f t="shared" si="6"/>
        <v>0</v>
      </c>
      <c r="I30" s="42">
        <f t="shared" si="6"/>
        <v>0</v>
      </c>
      <c r="J30" s="42">
        <f t="shared" si="6"/>
        <v>0</v>
      </c>
      <c r="K30" s="42">
        <f t="shared" si="6"/>
        <v>1267251719</v>
      </c>
    </row>
    <row r="31" spans="2:14" ht="12.75" customHeight="1" x14ac:dyDescent="0.25">
      <c r="B31" s="82">
        <v>2401</v>
      </c>
      <c r="C31" s="81" t="s">
        <v>231</v>
      </c>
      <c r="D31" s="35">
        <v>390737713</v>
      </c>
      <c r="E31" s="35">
        <v>450000000</v>
      </c>
      <c r="F31" s="35">
        <v>406000000</v>
      </c>
      <c r="G31" s="35">
        <f t="shared" ref="G31:G38" si="7">K31-F31-H31-I31-J31</f>
        <v>-54000000</v>
      </c>
      <c r="H31" s="35">
        <v>0</v>
      </c>
      <c r="I31" s="35">
        <v>0</v>
      </c>
      <c r="J31" s="35">
        <v>0</v>
      </c>
      <c r="K31" s="35">
        <v>352000000</v>
      </c>
    </row>
    <row r="32" spans="2:14" ht="12.75" customHeight="1" x14ac:dyDescent="0.25">
      <c r="B32" s="82">
        <v>2402</v>
      </c>
      <c r="C32" s="81" t="s">
        <v>230</v>
      </c>
      <c r="D32" s="16">
        <v>15013585</v>
      </c>
      <c r="E32" s="16">
        <v>17630396</v>
      </c>
      <c r="F32" s="16">
        <v>15540776</v>
      </c>
      <c r="G32" s="16">
        <f t="shared" si="7"/>
        <v>22140771</v>
      </c>
      <c r="H32" s="16">
        <v>0</v>
      </c>
      <c r="I32" s="16">
        <v>0</v>
      </c>
      <c r="J32" s="16">
        <v>0</v>
      </c>
      <c r="K32" s="16">
        <v>37681547</v>
      </c>
    </row>
    <row r="33" spans="2:11" ht="12.75" customHeight="1" x14ac:dyDescent="0.25">
      <c r="B33" s="82">
        <v>2403</v>
      </c>
      <c r="C33" s="81" t="s">
        <v>229</v>
      </c>
      <c r="D33" s="16">
        <v>77937680</v>
      </c>
      <c r="E33" s="16">
        <v>96400000</v>
      </c>
      <c r="F33" s="16">
        <v>84607089</v>
      </c>
      <c r="G33" s="16">
        <f t="shared" si="7"/>
        <v>-11551265</v>
      </c>
      <c r="H33" s="16">
        <v>0</v>
      </c>
      <c r="I33" s="16">
        <v>0</v>
      </c>
      <c r="J33" s="16">
        <v>0</v>
      </c>
      <c r="K33" s="16">
        <v>73055824</v>
      </c>
    </row>
    <row r="34" spans="2:11" ht="12.75" customHeight="1" x14ac:dyDescent="0.25">
      <c r="B34" s="82">
        <v>2409</v>
      </c>
      <c r="C34" s="81" t="s">
        <v>228</v>
      </c>
      <c r="D34" s="16">
        <v>75638897</v>
      </c>
      <c r="E34" s="16">
        <v>130250000</v>
      </c>
      <c r="F34" s="16">
        <v>130000000</v>
      </c>
      <c r="G34" s="16">
        <f t="shared" si="7"/>
        <v>0</v>
      </c>
      <c r="H34" s="16">
        <v>0</v>
      </c>
      <c r="I34" s="16">
        <v>0</v>
      </c>
      <c r="J34" s="16">
        <v>0</v>
      </c>
      <c r="K34" s="16">
        <v>130000000</v>
      </c>
    </row>
    <row r="35" spans="2:11" ht="12.75" customHeight="1" x14ac:dyDescent="0.25">
      <c r="B35" s="82">
        <v>2411</v>
      </c>
      <c r="C35" s="81" t="s">
        <v>227</v>
      </c>
      <c r="D35" s="16">
        <v>87497427</v>
      </c>
      <c r="E35" s="16">
        <v>109382905</v>
      </c>
      <c r="F35" s="16">
        <v>109600000</v>
      </c>
      <c r="G35" s="16">
        <f t="shared" si="7"/>
        <v>-8700000</v>
      </c>
      <c r="H35" s="16">
        <v>0</v>
      </c>
      <c r="I35" s="16">
        <v>0</v>
      </c>
      <c r="J35" s="16">
        <v>0</v>
      </c>
      <c r="K35" s="16">
        <v>100900000</v>
      </c>
    </row>
    <row r="36" spans="2:11" ht="12.75" customHeight="1" x14ac:dyDescent="0.25">
      <c r="B36" s="82">
        <v>2412</v>
      </c>
      <c r="C36" s="81" t="s">
        <v>226</v>
      </c>
      <c r="D36" s="16">
        <v>0</v>
      </c>
      <c r="E36" s="16">
        <v>0</v>
      </c>
      <c r="F36" s="16">
        <v>0</v>
      </c>
      <c r="G36" s="16">
        <f t="shared" si="7"/>
        <v>0</v>
      </c>
      <c r="H36" s="16">
        <v>0</v>
      </c>
      <c r="I36" s="16">
        <v>0</v>
      </c>
      <c r="J36" s="16">
        <v>0</v>
      </c>
      <c r="K36" s="16">
        <v>0</v>
      </c>
    </row>
    <row r="37" spans="2:11" ht="12.75" customHeight="1" x14ac:dyDescent="0.25">
      <c r="B37" s="82">
        <v>2413</v>
      </c>
      <c r="C37" s="81" t="s">
        <v>225</v>
      </c>
      <c r="D37" s="16">
        <v>6430106</v>
      </c>
      <c r="E37" s="16">
        <v>12890000</v>
      </c>
      <c r="F37" s="16">
        <v>12890000</v>
      </c>
      <c r="G37" s="16">
        <f t="shared" si="7"/>
        <v>-6075652</v>
      </c>
      <c r="H37" s="16">
        <v>0</v>
      </c>
      <c r="I37" s="16">
        <v>0</v>
      </c>
      <c r="J37" s="16">
        <v>0</v>
      </c>
      <c r="K37" s="16">
        <v>6814348</v>
      </c>
    </row>
    <row r="38" spans="2:11" ht="12.75" customHeight="1" x14ac:dyDescent="0.25">
      <c r="B38" s="80">
        <v>2499</v>
      </c>
      <c r="C38" s="80" t="s">
        <v>224</v>
      </c>
      <c r="D38" s="19">
        <v>87317587</v>
      </c>
      <c r="E38" s="19">
        <v>365200000</v>
      </c>
      <c r="F38" s="19">
        <v>435200000</v>
      </c>
      <c r="G38" s="19">
        <f t="shared" si="7"/>
        <v>131600000</v>
      </c>
      <c r="H38" s="19">
        <v>0</v>
      </c>
      <c r="I38" s="19">
        <v>0</v>
      </c>
      <c r="J38" s="19">
        <v>0</v>
      </c>
      <c r="K38" s="19">
        <v>566800000</v>
      </c>
    </row>
    <row r="39" spans="2:11" ht="3" customHeight="1" x14ac:dyDescent="0.25">
      <c r="B39" s="84"/>
      <c r="C39" s="84"/>
      <c r="D39" s="16"/>
      <c r="E39" s="16"/>
      <c r="F39" s="16"/>
      <c r="G39" s="16"/>
      <c r="H39" s="16"/>
      <c r="I39" s="16"/>
      <c r="J39" s="16"/>
      <c r="K39" s="16"/>
    </row>
    <row r="40" spans="2:11" ht="12.75" customHeight="1" x14ac:dyDescent="0.25">
      <c r="B40" s="87">
        <v>25</v>
      </c>
      <c r="C40" s="87" t="s">
        <v>223</v>
      </c>
      <c r="D40" s="42">
        <f t="shared" ref="D40:K40" si="8">SUM(D41:D49)</f>
        <v>2185856993</v>
      </c>
      <c r="E40" s="42">
        <f t="shared" si="8"/>
        <v>2910524644</v>
      </c>
      <c r="F40" s="42">
        <f t="shared" si="8"/>
        <v>2727696633</v>
      </c>
      <c r="G40" s="42">
        <f t="shared" si="8"/>
        <v>9966776</v>
      </c>
      <c r="H40" s="42">
        <f t="shared" si="8"/>
        <v>0</v>
      </c>
      <c r="I40" s="42">
        <f t="shared" si="8"/>
        <v>0</v>
      </c>
      <c r="J40" s="42">
        <f t="shared" si="8"/>
        <v>0</v>
      </c>
      <c r="K40" s="42">
        <f t="shared" si="8"/>
        <v>2737663409</v>
      </c>
    </row>
    <row r="41" spans="2:11" ht="12.75" customHeight="1" x14ac:dyDescent="0.25">
      <c r="B41" s="86">
        <v>2501</v>
      </c>
      <c r="C41" s="85" t="s">
        <v>222</v>
      </c>
      <c r="D41" s="35">
        <v>735800924</v>
      </c>
      <c r="E41" s="35">
        <v>663084092</v>
      </c>
      <c r="F41" s="35">
        <v>786086668</v>
      </c>
      <c r="G41" s="35">
        <f t="shared" ref="G41:G49" si="9">K41-F41-H41-I41-J41</f>
        <v>-16208478</v>
      </c>
      <c r="H41" s="35">
        <v>0</v>
      </c>
      <c r="I41" s="35">
        <v>0</v>
      </c>
      <c r="J41" s="35">
        <v>0</v>
      </c>
      <c r="K41" s="35">
        <v>769878190</v>
      </c>
    </row>
    <row r="42" spans="2:11" ht="12.75" customHeight="1" x14ac:dyDescent="0.25">
      <c r="B42" s="82">
        <v>2502</v>
      </c>
      <c r="C42" s="81" t="s">
        <v>221</v>
      </c>
      <c r="D42" s="16">
        <v>161720337</v>
      </c>
      <c r="E42" s="16">
        <v>700000000</v>
      </c>
      <c r="F42" s="16">
        <v>727988735</v>
      </c>
      <c r="G42" s="16">
        <f t="shared" si="9"/>
        <v>0</v>
      </c>
      <c r="H42" s="16">
        <v>0</v>
      </c>
      <c r="I42" s="16">
        <v>0</v>
      </c>
      <c r="J42" s="16">
        <v>0</v>
      </c>
      <c r="K42" s="16">
        <v>727988735</v>
      </c>
    </row>
    <row r="43" spans="2:11" ht="12.75" customHeight="1" x14ac:dyDescent="0.25">
      <c r="B43" s="82">
        <v>2503</v>
      </c>
      <c r="C43" s="81" t="s">
        <v>220</v>
      </c>
      <c r="D43" s="16">
        <v>228274323</v>
      </c>
      <c r="E43" s="16">
        <v>285000000</v>
      </c>
      <c r="F43" s="16">
        <v>116389224</v>
      </c>
      <c r="G43" s="16">
        <f t="shared" si="9"/>
        <v>0</v>
      </c>
      <c r="H43" s="16">
        <v>0</v>
      </c>
      <c r="I43" s="16">
        <v>0</v>
      </c>
      <c r="J43" s="16">
        <v>0</v>
      </c>
      <c r="K43" s="16">
        <v>116389224</v>
      </c>
    </row>
    <row r="44" spans="2:11" ht="12.75" customHeight="1" x14ac:dyDescent="0.25">
      <c r="B44" s="82">
        <v>2504</v>
      </c>
      <c r="C44" s="81" t="s">
        <v>219</v>
      </c>
      <c r="D44" s="16">
        <v>12392280</v>
      </c>
      <c r="E44" s="16">
        <v>8150000</v>
      </c>
      <c r="F44" s="16">
        <v>12827426</v>
      </c>
      <c r="G44" s="16">
        <f t="shared" si="9"/>
        <v>305377</v>
      </c>
      <c r="H44" s="16">
        <v>0</v>
      </c>
      <c r="I44" s="16">
        <v>0</v>
      </c>
      <c r="J44" s="16">
        <v>0</v>
      </c>
      <c r="K44" s="16">
        <v>13132803</v>
      </c>
    </row>
    <row r="45" spans="2:11" ht="12.75" customHeight="1" x14ac:dyDescent="0.25">
      <c r="B45" s="82">
        <v>2505</v>
      </c>
      <c r="C45" s="81" t="s">
        <v>218</v>
      </c>
      <c r="D45" s="16">
        <v>1030474572</v>
      </c>
      <c r="E45" s="16">
        <v>1229550000</v>
      </c>
      <c r="F45" s="16">
        <v>1066658938</v>
      </c>
      <c r="G45" s="16">
        <f t="shared" si="9"/>
        <v>25393471</v>
      </c>
      <c r="H45" s="16">
        <v>0</v>
      </c>
      <c r="I45" s="16">
        <v>0</v>
      </c>
      <c r="J45" s="16">
        <v>0</v>
      </c>
      <c r="K45" s="16">
        <v>1092052409</v>
      </c>
    </row>
    <row r="46" spans="2:11" ht="12.75" customHeight="1" x14ac:dyDescent="0.25">
      <c r="B46" s="82">
        <v>2510</v>
      </c>
      <c r="C46" s="81" t="s">
        <v>217</v>
      </c>
      <c r="D46" s="16">
        <v>6324938</v>
      </c>
      <c r="E46" s="16">
        <v>12491893</v>
      </c>
      <c r="F46" s="16">
        <v>6527652</v>
      </c>
      <c r="G46" s="16">
        <f t="shared" si="9"/>
        <v>175244</v>
      </c>
      <c r="H46" s="16">
        <v>0</v>
      </c>
      <c r="I46" s="16">
        <v>0</v>
      </c>
      <c r="J46" s="16">
        <v>0</v>
      </c>
      <c r="K46" s="16">
        <v>6702896</v>
      </c>
    </row>
    <row r="47" spans="2:11" ht="12.75" customHeight="1" x14ac:dyDescent="0.25">
      <c r="B47" s="82">
        <v>2511</v>
      </c>
      <c r="C47" s="81" t="s">
        <v>216</v>
      </c>
      <c r="D47" s="16">
        <v>7855190</v>
      </c>
      <c r="E47" s="16">
        <v>10088401</v>
      </c>
      <c r="F47" s="16">
        <v>8106949</v>
      </c>
      <c r="G47" s="16">
        <f t="shared" si="9"/>
        <v>217642</v>
      </c>
      <c r="H47" s="16">
        <v>0</v>
      </c>
      <c r="I47" s="16">
        <v>0</v>
      </c>
      <c r="J47" s="16">
        <v>0</v>
      </c>
      <c r="K47" s="16">
        <v>8324591</v>
      </c>
    </row>
    <row r="48" spans="2:11" ht="12.75" customHeight="1" x14ac:dyDescent="0.25">
      <c r="B48" s="82">
        <v>2512</v>
      </c>
      <c r="C48" s="81" t="s">
        <v>215</v>
      </c>
      <c r="D48" s="16">
        <v>2323</v>
      </c>
      <c r="E48" s="16">
        <v>0</v>
      </c>
      <c r="F48" s="16">
        <v>2397</v>
      </c>
      <c r="G48" s="16">
        <f t="shared" si="9"/>
        <v>65</v>
      </c>
      <c r="H48" s="16">
        <v>0</v>
      </c>
      <c r="I48" s="16">
        <v>0</v>
      </c>
      <c r="J48" s="16">
        <v>0</v>
      </c>
      <c r="K48" s="16">
        <v>2462</v>
      </c>
    </row>
    <row r="49" spans="2:11" ht="12.75" customHeight="1" x14ac:dyDescent="0.25">
      <c r="B49" s="80">
        <v>2513</v>
      </c>
      <c r="C49" s="80" t="s">
        <v>214</v>
      </c>
      <c r="D49" s="19">
        <v>3012106</v>
      </c>
      <c r="E49" s="19">
        <v>2160258</v>
      </c>
      <c r="F49" s="19">
        <v>3108644</v>
      </c>
      <c r="G49" s="19">
        <f t="shared" si="9"/>
        <v>83455</v>
      </c>
      <c r="H49" s="19">
        <v>0</v>
      </c>
      <c r="I49" s="19">
        <v>0</v>
      </c>
      <c r="J49" s="19">
        <v>0</v>
      </c>
      <c r="K49" s="19">
        <v>3192099</v>
      </c>
    </row>
    <row r="50" spans="2:11" ht="3" customHeight="1" x14ac:dyDescent="0.25">
      <c r="B50" s="84"/>
      <c r="C50" s="84"/>
      <c r="D50" s="16"/>
      <c r="E50" s="16"/>
      <c r="F50" s="16"/>
      <c r="G50" s="16"/>
      <c r="H50" s="16"/>
      <c r="I50" s="16"/>
      <c r="J50" s="16"/>
      <c r="K50" s="16"/>
    </row>
    <row r="51" spans="2:11" ht="12.75" customHeight="1" x14ac:dyDescent="0.25">
      <c r="B51" s="83">
        <v>26</v>
      </c>
      <c r="C51" s="83" t="s">
        <v>213</v>
      </c>
      <c r="D51" s="20">
        <f t="shared" ref="D51:K51" si="10">SUM(D52:D74)</f>
        <v>14041685534</v>
      </c>
      <c r="E51" s="20">
        <f t="shared" si="10"/>
        <v>10167916415</v>
      </c>
      <c r="F51" s="20">
        <f t="shared" si="10"/>
        <v>10574324898</v>
      </c>
      <c r="G51" s="20">
        <f>SUM(G52:G74)</f>
        <v>-4147887111</v>
      </c>
      <c r="H51" s="20">
        <f t="shared" si="10"/>
        <v>0</v>
      </c>
      <c r="I51" s="20">
        <f t="shared" si="10"/>
        <v>0</v>
      </c>
      <c r="J51" s="20">
        <f t="shared" si="10"/>
        <v>0</v>
      </c>
      <c r="K51" s="20">
        <f t="shared" si="10"/>
        <v>6426437787</v>
      </c>
    </row>
    <row r="52" spans="2:11" ht="12.75" customHeight="1" x14ac:dyDescent="0.25">
      <c r="B52" s="82">
        <v>2601</v>
      </c>
      <c r="C52" s="81" t="s">
        <v>212</v>
      </c>
      <c r="D52" s="16">
        <v>1773849</v>
      </c>
      <c r="E52" s="16">
        <v>20000000</v>
      </c>
      <c r="F52" s="16">
        <v>218000000</v>
      </c>
      <c r="G52" s="16">
        <f t="shared" ref="G52:G74" si="11">K52-F52-H52-I52-J52</f>
        <v>-216120152</v>
      </c>
      <c r="H52" s="16">
        <v>0</v>
      </c>
      <c r="I52" s="16">
        <v>0</v>
      </c>
      <c r="J52" s="16">
        <v>0</v>
      </c>
      <c r="K52" s="16">
        <v>1879848</v>
      </c>
    </row>
    <row r="53" spans="2:11" ht="12.75" customHeight="1" x14ac:dyDescent="0.25">
      <c r="B53" s="82">
        <v>2602</v>
      </c>
      <c r="C53" s="81" t="s">
        <v>211</v>
      </c>
      <c r="D53" s="16">
        <v>533142328</v>
      </c>
      <c r="E53" s="16">
        <v>460600000</v>
      </c>
      <c r="F53" s="16">
        <v>345800000</v>
      </c>
      <c r="G53" s="16">
        <f>K53-F53-H53-I53-J53</f>
        <v>352000000</v>
      </c>
      <c r="H53" s="16">
        <v>0</v>
      </c>
      <c r="I53" s="16">
        <v>0</v>
      </c>
      <c r="J53" s="16">
        <v>0</v>
      </c>
      <c r="K53" s="16">
        <v>697800000</v>
      </c>
    </row>
    <row r="54" spans="2:11" ht="12.75" customHeight="1" x14ac:dyDescent="0.25">
      <c r="B54" s="82">
        <v>2603</v>
      </c>
      <c r="C54" s="81" t="s">
        <v>210</v>
      </c>
      <c r="D54" s="16">
        <v>600002141</v>
      </c>
      <c r="E54" s="16">
        <v>500000000</v>
      </c>
      <c r="F54" s="16">
        <v>508000000</v>
      </c>
      <c r="G54" s="16">
        <f t="shared" si="11"/>
        <v>-308000000</v>
      </c>
      <c r="H54" s="16">
        <v>0</v>
      </c>
      <c r="I54" s="16">
        <v>0</v>
      </c>
      <c r="J54" s="16">
        <v>0</v>
      </c>
      <c r="K54" s="16">
        <v>200000000</v>
      </c>
    </row>
    <row r="55" spans="2:11" ht="12.75" customHeight="1" x14ac:dyDescent="0.25">
      <c r="B55" s="82">
        <v>2604</v>
      </c>
      <c r="C55" s="81" t="s">
        <v>209</v>
      </c>
      <c r="D55" s="16">
        <v>475168830</v>
      </c>
      <c r="E55" s="16">
        <v>361000000</v>
      </c>
      <c r="F55" s="16">
        <v>290180000</v>
      </c>
      <c r="G55" s="16">
        <f t="shared" si="11"/>
        <v>-2297000</v>
      </c>
      <c r="H55" s="16">
        <v>0</v>
      </c>
      <c r="I55" s="16">
        <v>0</v>
      </c>
      <c r="J55" s="16">
        <v>0</v>
      </c>
      <c r="K55" s="16">
        <v>287883000</v>
      </c>
    </row>
    <row r="56" spans="2:11" ht="12.75" customHeight="1" x14ac:dyDescent="0.25">
      <c r="B56" s="82">
        <v>2611</v>
      </c>
      <c r="C56" s="81" t="s">
        <v>208</v>
      </c>
      <c r="D56" s="16">
        <v>235415989</v>
      </c>
      <c r="E56" s="16">
        <v>286348100</v>
      </c>
      <c r="F56" s="16">
        <v>273022000</v>
      </c>
      <c r="G56" s="16">
        <f t="shared" si="11"/>
        <v>16333000</v>
      </c>
      <c r="H56" s="16">
        <v>0</v>
      </c>
      <c r="I56" s="16">
        <v>0</v>
      </c>
      <c r="J56" s="16">
        <v>0</v>
      </c>
      <c r="K56" s="16">
        <v>289355000</v>
      </c>
    </row>
    <row r="57" spans="2:11" ht="12.75" customHeight="1" x14ac:dyDescent="0.25">
      <c r="B57" s="82">
        <v>2612</v>
      </c>
      <c r="C57" s="81" t="s">
        <v>207</v>
      </c>
      <c r="D57" s="16">
        <v>13107918</v>
      </c>
      <c r="E57" s="16">
        <v>5196428</v>
      </c>
      <c r="F57" s="16">
        <v>13528027</v>
      </c>
      <c r="G57" s="16">
        <f t="shared" si="11"/>
        <v>363178</v>
      </c>
      <c r="H57" s="16">
        <v>0</v>
      </c>
      <c r="I57" s="16">
        <v>0</v>
      </c>
      <c r="J57" s="16">
        <v>0</v>
      </c>
      <c r="K57" s="16">
        <v>13891205</v>
      </c>
    </row>
    <row r="58" spans="2:11" ht="12.75" customHeight="1" x14ac:dyDescent="0.25">
      <c r="B58" s="82">
        <v>2613</v>
      </c>
      <c r="C58" s="81" t="s">
        <v>206</v>
      </c>
      <c r="D58" s="16">
        <v>0</v>
      </c>
      <c r="E58" s="16">
        <v>0</v>
      </c>
      <c r="F58" s="16">
        <v>0</v>
      </c>
      <c r="G58" s="16">
        <f t="shared" si="11"/>
        <v>0</v>
      </c>
      <c r="H58" s="16">
        <v>0</v>
      </c>
      <c r="I58" s="16">
        <v>0</v>
      </c>
      <c r="J58" s="16">
        <v>0</v>
      </c>
      <c r="K58" s="16">
        <v>0</v>
      </c>
    </row>
    <row r="59" spans="2:11" ht="12.75" customHeight="1" x14ac:dyDescent="0.25">
      <c r="B59" s="82">
        <v>2614</v>
      </c>
      <c r="C59" s="81" t="s">
        <v>205</v>
      </c>
      <c r="D59" s="16">
        <v>0</v>
      </c>
      <c r="E59" s="16">
        <v>0</v>
      </c>
      <c r="F59" s="16">
        <v>0</v>
      </c>
      <c r="G59" s="16">
        <f t="shared" si="11"/>
        <v>0</v>
      </c>
      <c r="H59" s="16">
        <v>0</v>
      </c>
      <c r="I59" s="16">
        <v>0</v>
      </c>
      <c r="J59" s="16">
        <v>0</v>
      </c>
      <c r="K59" s="16">
        <v>0</v>
      </c>
    </row>
    <row r="60" spans="2:11" ht="12.75" customHeight="1" x14ac:dyDescent="0.25">
      <c r="B60" s="82">
        <v>2615</v>
      </c>
      <c r="C60" s="81" t="s">
        <v>204</v>
      </c>
      <c r="D60" s="16">
        <v>48537</v>
      </c>
      <c r="E60" s="16">
        <v>0</v>
      </c>
      <c r="F60" s="16">
        <v>50093</v>
      </c>
      <c r="G60" s="16">
        <f t="shared" si="11"/>
        <v>1345</v>
      </c>
      <c r="H60" s="16">
        <v>0</v>
      </c>
      <c r="I60" s="16">
        <v>0</v>
      </c>
      <c r="J60" s="16">
        <v>0</v>
      </c>
      <c r="K60" s="16">
        <v>51438</v>
      </c>
    </row>
    <row r="61" spans="2:11" ht="12.75" customHeight="1" x14ac:dyDescent="0.25">
      <c r="B61" s="82">
        <v>2616</v>
      </c>
      <c r="C61" s="81" t="s">
        <v>203</v>
      </c>
      <c r="D61" s="16">
        <v>6475578</v>
      </c>
      <c r="E61" s="16">
        <v>5876148</v>
      </c>
      <c r="F61" s="16">
        <v>6683120</v>
      </c>
      <c r="G61" s="16">
        <f t="shared" si="11"/>
        <v>179418</v>
      </c>
      <c r="H61" s="16">
        <v>0</v>
      </c>
      <c r="I61" s="16">
        <v>0</v>
      </c>
      <c r="J61" s="16">
        <v>0</v>
      </c>
      <c r="K61" s="16">
        <v>6862538</v>
      </c>
    </row>
    <row r="62" spans="2:11" ht="12.75" customHeight="1" x14ac:dyDescent="0.25">
      <c r="B62" s="82">
        <v>2617</v>
      </c>
      <c r="C62" s="81" t="s">
        <v>202</v>
      </c>
      <c r="D62" s="16">
        <v>6410692</v>
      </c>
      <c r="E62" s="16">
        <v>8263620</v>
      </c>
      <c r="F62" s="16">
        <v>6616154</v>
      </c>
      <c r="G62" s="16">
        <f t="shared" si="11"/>
        <v>177620</v>
      </c>
      <c r="H62" s="16">
        <v>0</v>
      </c>
      <c r="I62" s="16">
        <v>0</v>
      </c>
      <c r="J62" s="16">
        <v>0</v>
      </c>
      <c r="K62" s="16">
        <v>6793774</v>
      </c>
    </row>
    <row r="63" spans="2:11" ht="12.75" customHeight="1" x14ac:dyDescent="0.25">
      <c r="B63" s="82">
        <v>2618</v>
      </c>
      <c r="C63" s="81" t="s">
        <v>201</v>
      </c>
      <c r="D63" s="16">
        <v>5492295</v>
      </c>
      <c r="E63" s="16">
        <v>4845746</v>
      </c>
      <c r="F63" s="16">
        <v>5668324</v>
      </c>
      <c r="G63" s="16">
        <f t="shared" si="11"/>
        <v>152173</v>
      </c>
      <c r="H63" s="16">
        <v>0</v>
      </c>
      <c r="I63" s="16">
        <v>0</v>
      </c>
      <c r="J63" s="16">
        <v>0</v>
      </c>
      <c r="K63" s="16">
        <v>5820497</v>
      </c>
    </row>
    <row r="64" spans="2:11" ht="12.75" customHeight="1" x14ac:dyDescent="0.25">
      <c r="B64" s="82">
        <v>2620</v>
      </c>
      <c r="C64" s="81" t="s">
        <v>200</v>
      </c>
      <c r="D64" s="16">
        <v>193809712</v>
      </c>
      <c r="E64" s="16">
        <v>29090000</v>
      </c>
      <c r="F64" s="16">
        <v>100000000</v>
      </c>
      <c r="G64" s="16">
        <f t="shared" si="11"/>
        <v>-37393398</v>
      </c>
      <c r="H64" s="16">
        <v>0</v>
      </c>
      <c r="I64" s="16">
        <v>0</v>
      </c>
      <c r="J64" s="16">
        <v>0</v>
      </c>
      <c r="K64" s="16">
        <v>62606602</v>
      </c>
    </row>
    <row r="65" spans="2:11" ht="12.75" customHeight="1" x14ac:dyDescent="0.25">
      <c r="B65" s="82">
        <v>2621</v>
      </c>
      <c r="C65" s="81" t="s">
        <v>199</v>
      </c>
      <c r="D65" s="16">
        <v>111695365</v>
      </c>
      <c r="E65" s="16">
        <v>114350000</v>
      </c>
      <c r="F65" s="16">
        <v>115275202</v>
      </c>
      <c r="G65" s="16">
        <f t="shared" si="11"/>
        <v>3094718</v>
      </c>
      <c r="H65" s="16">
        <v>0</v>
      </c>
      <c r="I65" s="16">
        <v>0</v>
      </c>
      <c r="J65" s="16">
        <v>0</v>
      </c>
      <c r="K65" s="16">
        <v>118369920</v>
      </c>
    </row>
    <row r="66" spans="2:11" ht="12.75" customHeight="1" x14ac:dyDescent="0.25">
      <c r="B66" s="82">
        <v>2622</v>
      </c>
      <c r="C66" s="81" t="s">
        <v>198</v>
      </c>
      <c r="D66" s="16">
        <v>10867554414</v>
      </c>
      <c r="E66" s="16">
        <v>7483000000</v>
      </c>
      <c r="F66" s="16">
        <v>7483000000</v>
      </c>
      <c r="G66" s="16">
        <f t="shared" si="11"/>
        <v>-4221000000</v>
      </c>
      <c r="H66" s="16">
        <v>0</v>
      </c>
      <c r="I66" s="16">
        <v>0</v>
      </c>
      <c r="J66" s="16">
        <v>0</v>
      </c>
      <c r="K66" s="16">
        <v>3262000000</v>
      </c>
    </row>
    <row r="67" spans="2:11" ht="12.75" customHeight="1" x14ac:dyDescent="0.25">
      <c r="B67" s="82">
        <v>2623</v>
      </c>
      <c r="C67" s="81" t="s">
        <v>197</v>
      </c>
      <c r="D67" s="16">
        <v>49795909</v>
      </c>
      <c r="E67" s="16">
        <v>32698352</v>
      </c>
      <c r="F67" s="16">
        <v>51391868</v>
      </c>
      <c r="G67" s="16">
        <f t="shared" si="11"/>
        <v>1379683</v>
      </c>
      <c r="H67" s="16">
        <v>0</v>
      </c>
      <c r="I67" s="16">
        <v>0</v>
      </c>
      <c r="J67" s="16">
        <v>0</v>
      </c>
      <c r="K67" s="16">
        <v>52771551</v>
      </c>
    </row>
    <row r="68" spans="2:11" ht="12.75" customHeight="1" x14ac:dyDescent="0.25">
      <c r="B68" s="82">
        <v>2624</v>
      </c>
      <c r="C68" s="81" t="s">
        <v>196</v>
      </c>
      <c r="D68" s="16">
        <v>37779408</v>
      </c>
      <c r="E68" s="16">
        <v>29870000</v>
      </c>
      <c r="F68" s="16">
        <v>38990238</v>
      </c>
      <c r="G68" s="16">
        <f t="shared" si="11"/>
        <v>1046745</v>
      </c>
      <c r="H68" s="16">
        <v>0</v>
      </c>
      <c r="I68" s="16">
        <v>0</v>
      </c>
      <c r="J68" s="16">
        <v>0</v>
      </c>
      <c r="K68" s="16">
        <v>40036983</v>
      </c>
    </row>
    <row r="69" spans="2:11" ht="12.75" customHeight="1" x14ac:dyDescent="0.25">
      <c r="B69" s="82">
        <v>2625</v>
      </c>
      <c r="C69" s="81" t="s">
        <v>195</v>
      </c>
      <c r="D69" s="16">
        <v>2730955</v>
      </c>
      <c r="E69" s="16">
        <v>9580000</v>
      </c>
      <c r="F69" s="16">
        <v>2818482</v>
      </c>
      <c r="G69" s="16">
        <f t="shared" si="11"/>
        <v>75666</v>
      </c>
      <c r="H69" s="16">
        <v>0</v>
      </c>
      <c r="I69" s="16">
        <v>0</v>
      </c>
      <c r="J69" s="16">
        <v>0</v>
      </c>
      <c r="K69" s="16">
        <v>2894148</v>
      </c>
    </row>
    <row r="70" spans="2:11" ht="12.75" customHeight="1" x14ac:dyDescent="0.25">
      <c r="B70" s="82">
        <v>2626</v>
      </c>
      <c r="C70" s="81" t="s">
        <v>194</v>
      </c>
      <c r="D70" s="16">
        <v>3463963</v>
      </c>
      <c r="E70" s="16">
        <v>3373514</v>
      </c>
      <c r="F70" s="16">
        <v>3574983</v>
      </c>
      <c r="G70" s="16">
        <f t="shared" si="11"/>
        <v>95975</v>
      </c>
      <c r="H70" s="16">
        <v>0</v>
      </c>
      <c r="I70" s="16">
        <v>0</v>
      </c>
      <c r="J70" s="16">
        <v>0</v>
      </c>
      <c r="K70" s="16">
        <v>3670958</v>
      </c>
    </row>
    <row r="71" spans="2:11" ht="12.75" customHeight="1" x14ac:dyDescent="0.25">
      <c r="B71" s="82">
        <v>2627</v>
      </c>
      <c r="C71" s="81" t="s">
        <v>193</v>
      </c>
      <c r="D71" s="16">
        <v>0</v>
      </c>
      <c r="E71" s="16">
        <v>0</v>
      </c>
      <c r="F71" s="16">
        <v>0</v>
      </c>
      <c r="G71" s="16">
        <f t="shared" si="11"/>
        <v>0</v>
      </c>
      <c r="H71" s="16">
        <v>0</v>
      </c>
      <c r="I71" s="16">
        <v>0</v>
      </c>
      <c r="J71" s="16">
        <v>0</v>
      </c>
      <c r="K71" s="16">
        <v>0</v>
      </c>
    </row>
    <row r="72" spans="2:11" ht="12.75" customHeight="1" x14ac:dyDescent="0.25">
      <c r="B72" s="82">
        <v>2697</v>
      </c>
      <c r="C72" s="81" t="s">
        <v>192</v>
      </c>
      <c r="D72" s="16">
        <v>388921405</v>
      </c>
      <c r="E72" s="16">
        <v>347780000</v>
      </c>
      <c r="F72" s="16">
        <v>401386339</v>
      </c>
      <c r="G72" s="16">
        <f t="shared" si="11"/>
        <v>10775755</v>
      </c>
      <c r="H72" s="16">
        <v>0</v>
      </c>
      <c r="I72" s="16">
        <v>0</v>
      </c>
      <c r="J72" s="16">
        <v>0</v>
      </c>
      <c r="K72" s="16">
        <v>412162094</v>
      </c>
    </row>
    <row r="73" spans="2:11" ht="12.75" customHeight="1" x14ac:dyDescent="0.25">
      <c r="B73" s="82">
        <v>2698</v>
      </c>
      <c r="C73" s="81" t="s">
        <v>191</v>
      </c>
      <c r="D73" s="16">
        <v>45049033</v>
      </c>
      <c r="E73" s="16">
        <v>74000000</v>
      </c>
      <c r="F73" s="16">
        <v>46492855</v>
      </c>
      <c r="G73" s="16">
        <f t="shared" si="11"/>
        <v>451248163</v>
      </c>
      <c r="H73" s="16">
        <v>0</v>
      </c>
      <c r="I73" s="16">
        <v>0</v>
      </c>
      <c r="J73" s="16">
        <v>0</v>
      </c>
      <c r="K73" s="16">
        <v>497741018</v>
      </c>
    </row>
    <row r="74" spans="2:11" ht="12.75" customHeight="1" x14ac:dyDescent="0.25">
      <c r="B74" s="80">
        <v>2699</v>
      </c>
      <c r="C74" s="80" t="s">
        <v>190</v>
      </c>
      <c r="D74" s="19">
        <v>463847213</v>
      </c>
      <c r="E74" s="19">
        <v>392044507</v>
      </c>
      <c r="F74" s="19">
        <v>663847213</v>
      </c>
      <c r="G74" s="19">
        <f t="shared" si="11"/>
        <v>-200000000</v>
      </c>
      <c r="H74" s="19">
        <v>0</v>
      </c>
      <c r="I74" s="19">
        <v>0</v>
      </c>
      <c r="J74" s="19">
        <v>0</v>
      </c>
      <c r="K74" s="19">
        <v>463847213</v>
      </c>
    </row>
    <row r="75" spans="2:11" ht="12.75" customHeight="1" x14ac:dyDescent="0.25"/>
  </sheetData>
  <mergeCells count="6">
    <mergeCell ref="K4:K5"/>
    <mergeCell ref="B4:B5"/>
    <mergeCell ref="C4:C5"/>
    <mergeCell ref="D4:D5"/>
    <mergeCell ref="E4:E5"/>
    <mergeCell ref="F4:F5"/>
  </mergeCells>
  <conditionalFormatting sqref="H42:J48 G29:J29 H32:J37 H9:J10 H53:J73 H15:J20 E13:K13 E51:K51 E22:K22 E30:K30 E40:K40 D12:K12 D39:K39 D21:K21 D6:K8">
    <cfRule type="expression" dxfId="428" priority="276">
      <formula>$D6="NonPrisEnCompte"</formula>
    </cfRule>
  </conditionalFormatting>
  <conditionalFormatting sqref="H24:J27">
    <cfRule type="expression" dxfId="427" priority="275">
      <formula>$D24="NonPrisEnCompte"</formula>
    </cfRule>
  </conditionalFormatting>
  <conditionalFormatting sqref="H11:J11">
    <cfRule type="expression" dxfId="426" priority="274">
      <formula>$D11="NonPrisEnCompte"</formula>
    </cfRule>
  </conditionalFormatting>
  <conditionalFormatting sqref="H28:J28">
    <cfRule type="expression" dxfId="425" priority="273">
      <formula>$D28="NonPrisEnCompte"</formula>
    </cfRule>
  </conditionalFormatting>
  <conditionalFormatting sqref="H38:J38">
    <cfRule type="expression" dxfId="424" priority="272">
      <formula>$D38="NonPrisEnCompte"</formula>
    </cfRule>
  </conditionalFormatting>
  <conditionalFormatting sqref="H49:J50">
    <cfRule type="expression" dxfId="423" priority="271">
      <formula>$D49="NonPrisEnCompte"</formula>
    </cfRule>
  </conditionalFormatting>
  <conditionalFormatting sqref="H74:J74">
    <cfRule type="expression" dxfId="422" priority="270">
      <formula>$D74="NonPrisEnCompte"</formula>
    </cfRule>
  </conditionalFormatting>
  <conditionalFormatting sqref="E29">
    <cfRule type="expression" dxfId="421" priority="269">
      <formula>$D29="NonPrisEnCompte"</formula>
    </cfRule>
  </conditionalFormatting>
  <conditionalFormatting sqref="E13">
    <cfRule type="expression" dxfId="420" priority="268">
      <formula>$D13="NonPrisEnCompte"</formula>
    </cfRule>
  </conditionalFormatting>
  <conditionalFormatting sqref="E51">
    <cfRule type="expression" dxfId="419" priority="236">
      <formula>$D51="NonPrisEnCompte"</formula>
    </cfRule>
  </conditionalFormatting>
  <conditionalFormatting sqref="E15:E19">
    <cfRule type="expression" dxfId="418" priority="231">
      <formula>$D15="NonPrisEnCompte"</formula>
    </cfRule>
  </conditionalFormatting>
  <conditionalFormatting sqref="E10">
    <cfRule type="expression" dxfId="417" priority="230">
      <formula>$D10="NonPrisEnCompte"</formula>
    </cfRule>
  </conditionalFormatting>
  <conditionalFormatting sqref="E24:E27">
    <cfRule type="expression" dxfId="416" priority="229">
      <formula>$D24="NonPrisEnCompte"</formula>
    </cfRule>
  </conditionalFormatting>
  <conditionalFormatting sqref="E32:E37">
    <cfRule type="expression" dxfId="415" priority="228">
      <formula>$D32="NonPrisEnCompte"</formula>
    </cfRule>
  </conditionalFormatting>
  <conditionalFormatting sqref="E42:E50">
    <cfRule type="expression" dxfId="414" priority="227">
      <formula>$D42="NonPrisEnCompte"</formula>
    </cfRule>
  </conditionalFormatting>
  <conditionalFormatting sqref="E52:E73">
    <cfRule type="expression" dxfId="413" priority="226">
      <formula>$D52="NonPrisEnCompte"</formula>
    </cfRule>
  </conditionalFormatting>
  <conditionalFormatting sqref="E22">
    <cfRule type="expression" dxfId="412" priority="225">
      <formula>$D22="NonPrisEnCompte"</formula>
    </cfRule>
  </conditionalFormatting>
  <conditionalFormatting sqref="E30">
    <cfRule type="expression" dxfId="411" priority="224">
      <formula>$D30="NonPrisEnCompte"</formula>
    </cfRule>
  </conditionalFormatting>
  <conditionalFormatting sqref="E74">
    <cfRule type="expression" dxfId="410" priority="223">
      <formula>$D74="NonPrisEnCompte"</formula>
    </cfRule>
  </conditionalFormatting>
  <conditionalFormatting sqref="E38">
    <cfRule type="expression" dxfId="409" priority="222">
      <formula>$D38="NonPrisEnCompte"</formula>
    </cfRule>
  </conditionalFormatting>
  <conditionalFormatting sqref="E40">
    <cfRule type="expression" dxfId="408" priority="221">
      <formula>$D40="NonPrisEnCompte"</formula>
    </cfRule>
  </conditionalFormatting>
  <conditionalFormatting sqref="E41">
    <cfRule type="expression" dxfId="407" priority="220">
      <formula>$D41="NonPrisEnCompte"</formula>
    </cfRule>
  </conditionalFormatting>
  <conditionalFormatting sqref="E31">
    <cfRule type="expression" dxfId="406" priority="219">
      <formula>$D31="NonPrisEnCompte"</formula>
    </cfRule>
  </conditionalFormatting>
  <conditionalFormatting sqref="E28">
    <cfRule type="expression" dxfId="405" priority="218">
      <formula>$D28="NonPrisEnCompte"</formula>
    </cfRule>
  </conditionalFormatting>
  <conditionalFormatting sqref="E23">
    <cfRule type="expression" dxfId="404" priority="217">
      <formula>$D23="NonPrisEnCompte"</formula>
    </cfRule>
  </conditionalFormatting>
  <conditionalFormatting sqref="E20">
    <cfRule type="expression" dxfId="403" priority="216">
      <formula>$D20="NonPrisEnCompte"</formula>
    </cfRule>
  </conditionalFormatting>
  <conditionalFormatting sqref="E11">
    <cfRule type="expression" dxfId="402" priority="215">
      <formula>$D11="NonPrisEnCompte"</formula>
    </cfRule>
  </conditionalFormatting>
  <conditionalFormatting sqref="E14">
    <cfRule type="expression" dxfId="401" priority="214">
      <formula>$D14="NonPrisEnCompte"</formula>
    </cfRule>
  </conditionalFormatting>
  <conditionalFormatting sqref="E9">
    <cfRule type="expression" dxfId="400" priority="213">
      <formula>$D9="NonPrisEnCompte"</formula>
    </cfRule>
  </conditionalFormatting>
  <conditionalFormatting sqref="F29">
    <cfRule type="expression" dxfId="399" priority="212">
      <formula>$D29="NonPrisEnCompte"</formula>
    </cfRule>
  </conditionalFormatting>
  <conditionalFormatting sqref="F13">
    <cfRule type="expression" dxfId="398" priority="211">
      <formula>$D13="NonPrisEnCompte"</formula>
    </cfRule>
  </conditionalFormatting>
  <conditionalFormatting sqref="F51">
    <cfRule type="expression" dxfId="397" priority="179">
      <formula>$D51="NonPrisEnCompte"</formula>
    </cfRule>
  </conditionalFormatting>
  <conditionalFormatting sqref="F15:F19">
    <cfRule type="expression" dxfId="396" priority="174">
      <formula>$D15="NonPrisEnCompte"</formula>
    </cfRule>
  </conditionalFormatting>
  <conditionalFormatting sqref="F10">
    <cfRule type="expression" dxfId="395" priority="173">
      <formula>$D10="NonPrisEnCompte"</formula>
    </cfRule>
  </conditionalFormatting>
  <conditionalFormatting sqref="F24:F27">
    <cfRule type="expression" dxfId="394" priority="172">
      <formula>$D24="NonPrisEnCompte"</formula>
    </cfRule>
  </conditionalFormatting>
  <conditionalFormatting sqref="F32:F37">
    <cfRule type="expression" dxfId="393" priority="171">
      <formula>$D32="NonPrisEnCompte"</formula>
    </cfRule>
  </conditionalFormatting>
  <conditionalFormatting sqref="F42:F50">
    <cfRule type="expression" dxfId="392" priority="170">
      <formula>$D42="NonPrisEnCompte"</formula>
    </cfRule>
  </conditionalFormatting>
  <conditionalFormatting sqref="F52:F73">
    <cfRule type="expression" dxfId="391" priority="169">
      <formula>$D52="NonPrisEnCompte"</formula>
    </cfRule>
  </conditionalFormatting>
  <conditionalFormatting sqref="F22">
    <cfRule type="expression" dxfId="390" priority="168">
      <formula>$D22="NonPrisEnCompte"</formula>
    </cfRule>
  </conditionalFormatting>
  <conditionalFormatting sqref="F30">
    <cfRule type="expression" dxfId="389" priority="167">
      <formula>$D30="NonPrisEnCompte"</formula>
    </cfRule>
  </conditionalFormatting>
  <conditionalFormatting sqref="F74">
    <cfRule type="expression" dxfId="388" priority="166">
      <formula>$D74="NonPrisEnCompte"</formula>
    </cfRule>
  </conditionalFormatting>
  <conditionalFormatting sqref="F38">
    <cfRule type="expression" dxfId="387" priority="165">
      <formula>$D38="NonPrisEnCompte"</formula>
    </cfRule>
  </conditionalFormatting>
  <conditionalFormatting sqref="F40">
    <cfRule type="expression" dxfId="386" priority="164">
      <formula>$D40="NonPrisEnCompte"</formula>
    </cfRule>
  </conditionalFormatting>
  <conditionalFormatting sqref="F41">
    <cfRule type="expression" dxfId="385" priority="163">
      <formula>$D41="NonPrisEnCompte"</formula>
    </cfRule>
  </conditionalFormatting>
  <conditionalFormatting sqref="F31">
    <cfRule type="expression" dxfId="384" priority="162">
      <formula>$D31="NonPrisEnCompte"</formula>
    </cfRule>
  </conditionalFormatting>
  <conditionalFormatting sqref="F28">
    <cfRule type="expression" dxfId="383" priority="161">
      <formula>$D28="NonPrisEnCompte"</formula>
    </cfRule>
  </conditionalFormatting>
  <conditionalFormatting sqref="F23">
    <cfRule type="expression" dxfId="382" priority="160">
      <formula>$D23="NonPrisEnCompte"</formula>
    </cfRule>
  </conditionalFormatting>
  <conditionalFormatting sqref="F20">
    <cfRule type="expression" dxfId="381" priority="159">
      <formula>$D20="NonPrisEnCompte"</formula>
    </cfRule>
  </conditionalFormatting>
  <conditionalFormatting sqref="F11">
    <cfRule type="expression" dxfId="380" priority="158">
      <formula>$D11="NonPrisEnCompte"</formula>
    </cfRule>
  </conditionalFormatting>
  <conditionalFormatting sqref="F14">
    <cfRule type="expression" dxfId="379" priority="157">
      <formula>$D14="NonPrisEnCompte"</formula>
    </cfRule>
  </conditionalFormatting>
  <conditionalFormatting sqref="F9">
    <cfRule type="expression" dxfId="378" priority="156">
      <formula>$D9="NonPrisEnCompte"</formula>
    </cfRule>
  </conditionalFormatting>
  <conditionalFormatting sqref="K29">
    <cfRule type="expression" dxfId="377" priority="155">
      <formula>$D29="NonPrisEnCompte"</formula>
    </cfRule>
  </conditionalFormatting>
  <conditionalFormatting sqref="K15:K19">
    <cfRule type="expression" dxfId="376" priority="119">
      <formula>$D15="NonPrisEnCompte"</formula>
    </cfRule>
  </conditionalFormatting>
  <conditionalFormatting sqref="K10">
    <cfRule type="expression" dxfId="375" priority="118">
      <formula>$D10="NonPrisEnCompte"</formula>
    </cfRule>
  </conditionalFormatting>
  <conditionalFormatting sqref="K24:K27">
    <cfRule type="expression" dxfId="374" priority="117">
      <formula>$D24="NonPrisEnCompte"</formula>
    </cfRule>
  </conditionalFormatting>
  <conditionalFormatting sqref="K32:K37">
    <cfRule type="expression" dxfId="373" priority="116">
      <formula>$D32="NonPrisEnCompte"</formula>
    </cfRule>
  </conditionalFormatting>
  <conditionalFormatting sqref="K42:K50">
    <cfRule type="expression" dxfId="372" priority="115">
      <formula>$D42="NonPrisEnCompte"</formula>
    </cfRule>
  </conditionalFormatting>
  <conditionalFormatting sqref="K52:K73">
    <cfRule type="expression" dxfId="371" priority="114">
      <formula>$D52="NonPrisEnCompte"</formula>
    </cfRule>
  </conditionalFormatting>
  <conditionalFormatting sqref="K74">
    <cfRule type="expression" dxfId="370" priority="113">
      <formula>$D74="NonPrisEnCompte"</formula>
    </cfRule>
  </conditionalFormatting>
  <conditionalFormatting sqref="K38">
    <cfRule type="expression" dxfId="369" priority="112">
      <formula>$D38="NonPrisEnCompte"</formula>
    </cfRule>
  </conditionalFormatting>
  <conditionalFormatting sqref="K41">
    <cfRule type="expression" dxfId="368" priority="111">
      <formula>$D41="NonPrisEnCompte"</formula>
    </cfRule>
  </conditionalFormatting>
  <conditionalFormatting sqref="K31">
    <cfRule type="expression" dxfId="367" priority="110">
      <formula>$D31="NonPrisEnCompte"</formula>
    </cfRule>
  </conditionalFormatting>
  <conditionalFormatting sqref="K28">
    <cfRule type="expression" dxfId="366" priority="109">
      <formula>$D28="NonPrisEnCompte"</formula>
    </cfRule>
  </conditionalFormatting>
  <conditionalFormatting sqref="K23">
    <cfRule type="expression" dxfId="365" priority="108">
      <formula>$D23="NonPrisEnCompte"</formula>
    </cfRule>
  </conditionalFormatting>
  <conditionalFormatting sqref="K20">
    <cfRule type="expression" dxfId="364" priority="107">
      <formula>$D20="NonPrisEnCompte"</formula>
    </cfRule>
  </conditionalFormatting>
  <conditionalFormatting sqref="K11">
    <cfRule type="expression" dxfId="363" priority="106">
      <formula>$D11="NonPrisEnCompte"</formula>
    </cfRule>
  </conditionalFormatting>
  <conditionalFormatting sqref="K14">
    <cfRule type="expression" dxfId="362" priority="105">
      <formula>$D14="NonPrisEnCompte"</formula>
    </cfRule>
  </conditionalFormatting>
  <conditionalFormatting sqref="K9">
    <cfRule type="expression" dxfId="361" priority="104">
      <formula>$D9="NonPrisEnCompte"</formula>
    </cfRule>
  </conditionalFormatting>
  <conditionalFormatting sqref="G10">
    <cfRule type="expression" dxfId="360" priority="103">
      <formula>$D10="NonPrisEnCompte"</formula>
    </cfRule>
  </conditionalFormatting>
  <conditionalFormatting sqref="G11">
    <cfRule type="expression" dxfId="359" priority="102">
      <formula>$D11="NonPrisEnCompte"</formula>
    </cfRule>
  </conditionalFormatting>
  <conditionalFormatting sqref="H41:J50">
    <cfRule type="expression" dxfId="358" priority="83">
      <formula>$D41="NonPrisEnCompte"</formula>
    </cfRule>
  </conditionalFormatting>
  <conditionalFormatting sqref="G15:G19">
    <cfRule type="expression" dxfId="357" priority="101">
      <formula>$D15="NonPrisEnCompte"</formula>
    </cfRule>
  </conditionalFormatting>
  <conditionalFormatting sqref="G20">
    <cfRule type="expression" dxfId="356" priority="100">
      <formula>$D20="NonPrisEnCompte"</formula>
    </cfRule>
  </conditionalFormatting>
  <conditionalFormatting sqref="H41:J50">
    <cfRule type="expression" dxfId="355" priority="81">
      <formula>$D41="NonPrisEnCompte"</formula>
    </cfRule>
  </conditionalFormatting>
  <conditionalFormatting sqref="G24:G27">
    <cfRule type="expression" dxfId="354" priority="99">
      <formula>$D24="NonPrisEnCompte"</formula>
    </cfRule>
  </conditionalFormatting>
  <conditionalFormatting sqref="G28">
    <cfRule type="expression" dxfId="353" priority="98">
      <formula>$D28="NonPrisEnCompte"</formula>
    </cfRule>
  </conditionalFormatting>
  <conditionalFormatting sqref="G41:G50">
    <cfRule type="expression" dxfId="352" priority="80">
      <formula>$D41="NonPrisEnCompte"</formula>
    </cfRule>
  </conditionalFormatting>
  <conditionalFormatting sqref="G32:G37">
    <cfRule type="expression" dxfId="351" priority="97">
      <formula>$D32="NonPrisEnCompte"</formula>
    </cfRule>
  </conditionalFormatting>
  <conditionalFormatting sqref="G38">
    <cfRule type="expression" dxfId="350" priority="96">
      <formula>$D38="NonPrisEnCompte"</formula>
    </cfRule>
  </conditionalFormatting>
  <conditionalFormatting sqref="H41:J50">
    <cfRule type="expression" dxfId="349" priority="79">
      <formula>$D41="NonPrisEnCompte"</formula>
    </cfRule>
  </conditionalFormatting>
  <conditionalFormatting sqref="G42:G50">
    <cfRule type="expression" dxfId="348" priority="95">
      <formula>$D42="NonPrisEnCompte"</formula>
    </cfRule>
  </conditionalFormatting>
  <conditionalFormatting sqref="G53:G73">
    <cfRule type="expression" dxfId="347" priority="94">
      <formula>$D53="NonPrisEnCompte"</formula>
    </cfRule>
  </conditionalFormatting>
  <conditionalFormatting sqref="G74">
    <cfRule type="expression" dxfId="346" priority="93">
      <formula>$D74="NonPrisEnCompte"</formula>
    </cfRule>
  </conditionalFormatting>
  <conditionalFormatting sqref="G9">
    <cfRule type="expression" dxfId="345" priority="92">
      <formula>#REF!="NonPrisEnCompte"</formula>
    </cfRule>
  </conditionalFormatting>
  <conditionalFormatting sqref="H14:J14">
    <cfRule type="expression" dxfId="344" priority="91">
      <formula>$D14="NonPrisEnCompte"</formula>
    </cfRule>
  </conditionalFormatting>
  <conditionalFormatting sqref="G14">
    <cfRule type="expression" dxfId="343" priority="90">
      <formula>#REF!="NonPrisEnCompte"</formula>
    </cfRule>
  </conditionalFormatting>
  <conditionalFormatting sqref="H23:J28">
    <cfRule type="expression" dxfId="342" priority="89">
      <formula>$D23="NonPrisEnCompte"</formula>
    </cfRule>
  </conditionalFormatting>
  <conditionalFormatting sqref="G23:G28">
    <cfRule type="expression" dxfId="341" priority="88">
      <formula>$D23="NonPrisEnCompte"</formula>
    </cfRule>
  </conditionalFormatting>
  <conditionalFormatting sqref="H31:J38">
    <cfRule type="expression" dxfId="340" priority="87">
      <formula>$D31="NonPrisEnCompte"</formula>
    </cfRule>
  </conditionalFormatting>
  <conditionalFormatting sqref="G31:G38">
    <cfRule type="expression" dxfId="339" priority="86">
      <formula>$D31="NonPrisEnCompte"</formula>
    </cfRule>
  </conditionalFormatting>
  <conditionalFormatting sqref="H31:J38">
    <cfRule type="expression" dxfId="338" priority="85">
      <formula>$D31="NonPrisEnCompte"</formula>
    </cfRule>
  </conditionalFormatting>
  <conditionalFormatting sqref="G31:G38">
    <cfRule type="expression" dxfId="337" priority="84">
      <formula>$D31="NonPrisEnCompte"</formula>
    </cfRule>
  </conditionalFormatting>
  <conditionalFormatting sqref="G41:G50">
    <cfRule type="expression" dxfId="336" priority="82">
      <formula>$D41="NonPrisEnCompte"</formula>
    </cfRule>
  </conditionalFormatting>
  <conditionalFormatting sqref="G41:G50">
    <cfRule type="expression" dxfId="335" priority="78">
      <formula>$D41="NonPrisEnCompte"</formula>
    </cfRule>
  </conditionalFormatting>
  <conditionalFormatting sqref="H52:J74">
    <cfRule type="expression" dxfId="334" priority="77">
      <formula>$D52="NonPrisEnCompte"</formula>
    </cfRule>
  </conditionalFormatting>
  <conditionalFormatting sqref="G52:G74">
    <cfRule type="expression" dxfId="333" priority="76">
      <formula>$D52="NonPrisEnCompte"</formula>
    </cfRule>
  </conditionalFormatting>
  <conditionalFormatting sqref="H52:J74">
    <cfRule type="expression" dxfId="332" priority="75">
      <formula>$D52="NonPrisEnCompte"</formula>
    </cfRule>
  </conditionalFormatting>
  <conditionalFormatting sqref="G52:G74">
    <cfRule type="expression" dxfId="331" priority="74">
      <formula>$D52="NonPrisEnCompte"</formula>
    </cfRule>
  </conditionalFormatting>
  <conditionalFormatting sqref="H52:J74">
    <cfRule type="expression" dxfId="330" priority="73">
      <formula>$D52="NonPrisEnCompte"</formula>
    </cfRule>
  </conditionalFormatting>
  <conditionalFormatting sqref="G52:G74">
    <cfRule type="expression" dxfId="329" priority="72">
      <formula>$D52="NonPrisEnCompte"</formula>
    </cfRule>
  </conditionalFormatting>
  <conditionalFormatting sqref="H52:J74">
    <cfRule type="expression" dxfId="328" priority="71">
      <formula>$D52="NonPrisEnCompte"</formula>
    </cfRule>
  </conditionalFormatting>
  <conditionalFormatting sqref="G52:G74">
    <cfRule type="expression" dxfId="327" priority="70">
      <formula>$D52="NonPrisEnCompte"</formula>
    </cfRule>
  </conditionalFormatting>
  <conditionalFormatting sqref="D8">
    <cfRule type="expression" dxfId="326" priority="69">
      <formula>$D8="NonPrisEnCompte"</formula>
    </cfRule>
  </conditionalFormatting>
  <conditionalFormatting sqref="D13">
    <cfRule type="expression" dxfId="325" priority="68">
      <formula>$D13="NonPrisEnCompte"</formula>
    </cfRule>
  </conditionalFormatting>
  <conditionalFormatting sqref="D22">
    <cfRule type="expression" dxfId="324" priority="67">
      <formula>$D22="NonPrisEnCompte"</formula>
    </cfRule>
  </conditionalFormatting>
  <conditionalFormatting sqref="D40">
    <cfRule type="expression" dxfId="323" priority="65">
      <formula>$D40="NonPrisEnCompte"</formula>
    </cfRule>
  </conditionalFormatting>
  <conditionalFormatting sqref="D30">
    <cfRule type="expression" dxfId="322" priority="66">
      <formula>$D30="NonPrisEnCompte"</formula>
    </cfRule>
  </conditionalFormatting>
  <conditionalFormatting sqref="D51">
    <cfRule type="expression" dxfId="321" priority="64">
      <formula>$D51="NonPrisEnCompte"</formula>
    </cfRule>
  </conditionalFormatting>
  <conditionalFormatting sqref="D29">
    <cfRule type="expression" dxfId="320" priority="63">
      <formula>$D29="NonPrisEnCompte"</formula>
    </cfRule>
  </conditionalFormatting>
  <conditionalFormatting sqref="D13">
    <cfRule type="expression" dxfId="319" priority="62">
      <formula>$D13="NonPrisEnCompte"</formula>
    </cfRule>
  </conditionalFormatting>
  <conditionalFormatting sqref="D51">
    <cfRule type="expression" dxfId="318" priority="30">
      <formula>$D51="NonPrisEnCompte"</formula>
    </cfRule>
  </conditionalFormatting>
  <conditionalFormatting sqref="D15:D19">
    <cfRule type="expression" dxfId="317" priority="25">
      <formula>$D15="NonPrisEnCompte"</formula>
    </cfRule>
  </conditionalFormatting>
  <conditionalFormatting sqref="D10">
    <cfRule type="expression" dxfId="316" priority="24">
      <formula>$D10="NonPrisEnCompte"</formula>
    </cfRule>
  </conditionalFormatting>
  <conditionalFormatting sqref="D24:D27">
    <cfRule type="expression" dxfId="315" priority="23">
      <formula>$D24="NonPrisEnCompte"</formula>
    </cfRule>
  </conditionalFormatting>
  <conditionalFormatting sqref="D32:D37">
    <cfRule type="expression" dxfId="314" priority="22">
      <formula>$D32="NonPrisEnCompte"</formula>
    </cfRule>
  </conditionalFormatting>
  <conditionalFormatting sqref="D42:D50">
    <cfRule type="expression" dxfId="313" priority="21">
      <formula>$D42="NonPrisEnCompte"</formula>
    </cfRule>
  </conditionalFormatting>
  <conditionalFormatting sqref="D52:D73">
    <cfRule type="expression" dxfId="312" priority="20">
      <formula>$D52="NonPrisEnCompte"</formula>
    </cfRule>
  </conditionalFormatting>
  <conditionalFormatting sqref="D22">
    <cfRule type="expression" dxfId="311" priority="19">
      <formula>$D22="NonPrisEnCompte"</formula>
    </cfRule>
  </conditionalFormatting>
  <conditionalFormatting sqref="D30">
    <cfRule type="expression" dxfId="310" priority="18">
      <formula>$D30="NonPrisEnCompte"</formula>
    </cfRule>
  </conditionalFormatting>
  <conditionalFormatting sqref="D74">
    <cfRule type="expression" dxfId="309" priority="17">
      <formula>$D74="NonPrisEnCompte"</formula>
    </cfRule>
  </conditionalFormatting>
  <conditionalFormatting sqref="D38">
    <cfRule type="expression" dxfId="308" priority="16">
      <formula>$D38="NonPrisEnCompte"</formula>
    </cfRule>
  </conditionalFormatting>
  <conditionalFormatting sqref="D40">
    <cfRule type="expression" dxfId="307" priority="15">
      <formula>$D40="NonPrisEnCompte"</formula>
    </cfRule>
  </conditionalFormatting>
  <conditionalFormatting sqref="D41">
    <cfRule type="expression" dxfId="306" priority="14">
      <formula>$D41="NonPrisEnCompte"</formula>
    </cfRule>
  </conditionalFormatting>
  <conditionalFormatting sqref="D31">
    <cfRule type="expression" dxfId="305" priority="13">
      <formula>$D31="NonPrisEnCompte"</formula>
    </cfRule>
  </conditionalFormatting>
  <conditionalFormatting sqref="D28">
    <cfRule type="expression" dxfId="304" priority="12">
      <formula>$D28="NonPrisEnCompte"</formula>
    </cfRule>
  </conditionalFormatting>
  <conditionalFormatting sqref="D23">
    <cfRule type="expression" dxfId="303" priority="11">
      <formula>$D23="NonPrisEnCompte"</formula>
    </cfRule>
  </conditionalFormatting>
  <conditionalFormatting sqref="D20">
    <cfRule type="expression" dxfId="302" priority="10">
      <formula>$D20="NonPrisEnCompte"</formula>
    </cfRule>
  </conditionalFormatting>
  <conditionalFormatting sqref="D11">
    <cfRule type="expression" dxfId="301" priority="9">
      <formula>$D11="NonPrisEnCompte"</formula>
    </cfRule>
  </conditionalFormatting>
  <conditionalFormatting sqref="D14">
    <cfRule type="expression" dxfId="300" priority="8">
      <formula>$D14="NonPrisEnCompte"</formula>
    </cfRule>
  </conditionalFormatting>
  <conditionalFormatting sqref="D9">
    <cfRule type="expression" dxfId="299" priority="7">
      <formula>$D9="NonPrisEnCompte"</formula>
    </cfRule>
  </conditionalFormatting>
  <conditionalFormatting sqref="D8">
    <cfRule type="expression" dxfId="298" priority="6">
      <formula>$D8="NonPrisEnCompte"</formula>
    </cfRule>
  </conditionalFormatting>
  <conditionalFormatting sqref="D13">
    <cfRule type="expression" dxfId="297" priority="5">
      <formula>$D13="NonPrisEnCompte"</formula>
    </cfRule>
  </conditionalFormatting>
  <conditionalFormatting sqref="D51">
    <cfRule type="expression" dxfId="296" priority="4">
      <formula>$D51="NonPrisEnCompte"</formula>
    </cfRule>
  </conditionalFormatting>
  <conditionalFormatting sqref="D22">
    <cfRule type="expression" dxfId="295" priority="3">
      <formula>$D22="NonPrisEnCompte"</formula>
    </cfRule>
  </conditionalFormatting>
  <conditionalFormatting sqref="D30">
    <cfRule type="expression" dxfId="294" priority="2">
      <formula>$D30="NonPrisEnCompte"</formula>
    </cfRule>
  </conditionalFormatting>
  <conditionalFormatting sqref="D40">
    <cfRule type="expression" dxfId="293" priority="1">
      <formula>$D40="NonPrisEnCompte"</formula>
    </cfRule>
  </conditionalFormatting>
  <pageMargins left="0.7" right="0.7" top="0.75" bottom="0.75" header="0.3" footer="0.3"/>
  <pageSetup paperSize="9" scale="46"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N110"/>
  <sheetViews>
    <sheetView showGridLines="0" zoomScale="85" zoomScaleNormal="85" workbookViewId="0">
      <pane xSplit="3" ySplit="5" topLeftCell="D6" activePane="bottomRight" state="frozen"/>
      <selection activeCell="G14" sqref="G1:G1048576"/>
      <selection pane="topRight" activeCell="G14" sqref="G1:G1048576"/>
      <selection pane="bottomLeft" activeCell="G14" sqref="G1:G1048576"/>
      <selection pane="bottomRight" activeCell="P12" sqref="P12"/>
    </sheetView>
  </sheetViews>
  <sheetFormatPr baseColWidth="10" defaultRowHeight="15" x14ac:dyDescent="0.25"/>
  <cols>
    <col min="1" max="1" width="1.7109375" customWidth="1"/>
    <col min="2" max="2" width="8.140625" style="3" customWidth="1"/>
    <col min="3" max="3" width="71.7109375" style="3" bestFit="1" customWidth="1"/>
    <col min="4" max="4" width="13.5703125" style="13" customWidth="1"/>
    <col min="5" max="6" width="13.5703125" style="13" customWidth="1" collapsed="1"/>
    <col min="7" max="10" width="13.5703125" style="13" customWidth="1"/>
    <col min="11" max="11" width="13.5703125" style="13" customWidth="1" collapsed="1"/>
    <col min="12" max="12" width="12.7109375" style="140" bestFit="1" customWidth="1"/>
  </cols>
  <sheetData>
    <row r="1" spans="1:14" ht="23.25" x14ac:dyDescent="0.35">
      <c r="A1" s="8" t="s">
        <v>188</v>
      </c>
    </row>
    <row r="2" spans="1:14" ht="12.75" customHeight="1" x14ac:dyDescent="0.25">
      <c r="A2" s="7"/>
    </row>
    <row r="3" spans="1:14" x14ac:dyDescent="0.25">
      <c r="C3" s="109" t="s">
        <v>116</v>
      </c>
    </row>
    <row r="4" spans="1:14" ht="15.75" customHeight="1" thickBot="1" x14ac:dyDescent="0.3">
      <c r="B4" s="174" t="s">
        <v>158</v>
      </c>
      <c r="C4" s="182" t="s">
        <v>147</v>
      </c>
      <c r="D4" s="175" t="s">
        <v>329</v>
      </c>
      <c r="E4" s="175" t="s">
        <v>330</v>
      </c>
      <c r="F4" s="175" t="s">
        <v>331</v>
      </c>
      <c r="G4" s="28" t="s">
        <v>332</v>
      </c>
      <c r="H4" s="28"/>
      <c r="I4" s="28"/>
      <c r="J4" s="28"/>
      <c r="K4" s="175" t="s">
        <v>333</v>
      </c>
    </row>
    <row r="5" spans="1:14" ht="51" customHeight="1" thickBot="1" x14ac:dyDescent="0.3">
      <c r="B5" s="174"/>
      <c r="C5" s="182"/>
      <c r="D5" s="175"/>
      <c r="E5" s="175"/>
      <c r="F5" s="175"/>
      <c r="G5" s="29" t="s">
        <v>146</v>
      </c>
      <c r="H5" s="30" t="s">
        <v>145</v>
      </c>
      <c r="I5" s="30" t="s">
        <v>132</v>
      </c>
      <c r="J5" s="30" t="s">
        <v>144</v>
      </c>
      <c r="K5" s="175"/>
    </row>
    <row r="6" spans="1:14" ht="15" customHeight="1" thickBot="1" x14ac:dyDescent="0.3">
      <c r="B6" s="32"/>
      <c r="C6" s="36" t="s">
        <v>254</v>
      </c>
      <c r="D6" s="37">
        <f t="shared" ref="D6:J6" si="0">D8+D17+D23+D27+D32</f>
        <v>322902945657.16003</v>
      </c>
      <c r="E6" s="37">
        <f t="shared" si="0"/>
        <v>348482123995.4519</v>
      </c>
      <c r="F6" s="37">
        <f t="shared" si="0"/>
        <v>322487512148</v>
      </c>
      <c r="G6" s="37">
        <f t="shared" si="0"/>
        <v>8902293988.8635349</v>
      </c>
      <c r="H6" s="37">
        <f>H8+H17+H23+H27+H32</f>
        <v>7749750721.7430534</v>
      </c>
      <c r="I6" s="37">
        <f t="shared" si="0"/>
        <v>14726925768.39341</v>
      </c>
      <c r="J6" s="37">
        <f t="shared" si="0"/>
        <v>3741000000</v>
      </c>
      <c r="K6" s="37">
        <v>357607875746.25879</v>
      </c>
    </row>
    <row r="7" spans="1:14" s="1" customFormat="1" ht="3" customHeight="1" x14ac:dyDescent="0.25">
      <c r="B7" s="43"/>
      <c r="C7" s="43"/>
      <c r="D7" s="17"/>
      <c r="E7" s="17"/>
      <c r="F7" s="17"/>
      <c r="G7" s="17"/>
      <c r="H7" s="17"/>
      <c r="I7" s="17"/>
      <c r="J7" s="17"/>
      <c r="K7" s="17"/>
      <c r="L7" s="140"/>
    </row>
    <row r="8" spans="1:14" ht="12.75" customHeight="1" x14ac:dyDescent="0.25">
      <c r="B8" s="41"/>
      <c r="C8" s="41" t="s">
        <v>159</v>
      </c>
      <c r="D8" s="42">
        <f t="shared" ref="D8:K8" si="1">D9-SUM(D10:D15)</f>
        <v>88589440367.919998</v>
      </c>
      <c r="E8" s="42">
        <f t="shared" si="1"/>
        <v>93364477675</v>
      </c>
      <c r="F8" s="42">
        <f t="shared" si="1"/>
        <v>88067968365</v>
      </c>
      <c r="G8" s="42">
        <f t="shared" si="1"/>
        <v>5114213805.2259893</v>
      </c>
      <c r="H8" s="42">
        <f t="shared" si="1"/>
        <v>481073112.77401024</v>
      </c>
      <c r="I8" s="42">
        <f t="shared" si="1"/>
        <v>134000000</v>
      </c>
      <c r="J8" s="42">
        <f t="shared" si="1"/>
        <v>0</v>
      </c>
      <c r="K8" s="42">
        <f t="shared" si="1"/>
        <v>93797255283</v>
      </c>
      <c r="L8" s="149"/>
    </row>
    <row r="9" spans="1:14" ht="12.75" customHeight="1" x14ac:dyDescent="0.25">
      <c r="B9" s="39">
        <v>1101</v>
      </c>
      <c r="C9" s="39" t="s">
        <v>110</v>
      </c>
      <c r="D9" s="35">
        <v>112076248108.95</v>
      </c>
      <c r="E9" s="35">
        <v>117074600000</v>
      </c>
      <c r="F9" s="35">
        <v>113693585081</v>
      </c>
      <c r="G9" s="35">
        <f>K9-F9-H9-I9-J9</f>
        <v>5882829654.2259893</v>
      </c>
      <c r="H9" s="128">
        <v>481073112.77401024</v>
      </c>
      <c r="I9" s="35">
        <f>'MN au présent PLF'!F5+'MN au présent PLF'!F6</f>
        <v>134000000</v>
      </c>
      <c r="J9" s="35">
        <v>0</v>
      </c>
      <c r="K9" s="35">
        <v>120191487848</v>
      </c>
      <c r="L9" s="149"/>
      <c r="M9" s="122"/>
      <c r="N9" s="122"/>
    </row>
    <row r="10" spans="1:14" ht="12.75" customHeight="1" x14ac:dyDescent="0.25">
      <c r="B10" s="11" t="s">
        <v>39</v>
      </c>
      <c r="C10" s="11" t="s">
        <v>33</v>
      </c>
      <c r="D10" s="16">
        <v>12423138029</v>
      </c>
      <c r="E10" s="16">
        <v>11949000000</v>
      </c>
      <c r="F10" s="16">
        <v>13329000000</v>
      </c>
      <c r="G10" s="16">
        <f>K10-F10-H10-I10-J10</f>
        <v>-6000000</v>
      </c>
      <c r="H10" s="16">
        <v>0</v>
      </c>
      <c r="I10" s="16">
        <v>0</v>
      </c>
      <c r="J10" s="16">
        <v>0</v>
      </c>
      <c r="K10" s="16">
        <v>13323000000</v>
      </c>
      <c r="L10" s="149"/>
      <c r="M10" s="122"/>
      <c r="N10" s="122"/>
    </row>
    <row r="11" spans="1:14" ht="12.75" customHeight="1" x14ac:dyDescent="0.25">
      <c r="B11" s="11" t="s">
        <v>34</v>
      </c>
      <c r="C11" s="11" t="s">
        <v>33</v>
      </c>
      <c r="D11" s="16">
        <v>2098193494.6500001</v>
      </c>
      <c r="E11" s="16">
        <v>2103000000</v>
      </c>
      <c r="F11" s="16">
        <v>2252000000</v>
      </c>
      <c r="G11" s="16">
        <f t="shared" ref="G11:G15" si="2">K11-F11-H11-I11-J11</f>
        <v>0</v>
      </c>
      <c r="H11" s="16">
        <v>0</v>
      </c>
      <c r="I11" s="16">
        <v>0</v>
      </c>
      <c r="J11" s="16">
        <v>0</v>
      </c>
      <c r="K11" s="16">
        <v>2252000000</v>
      </c>
      <c r="L11" s="149"/>
      <c r="M11" s="122"/>
      <c r="N11" s="122"/>
    </row>
    <row r="12" spans="1:14" ht="12.75" customHeight="1" x14ac:dyDescent="0.25">
      <c r="B12" s="11" t="s">
        <v>26</v>
      </c>
      <c r="C12" s="11" t="s">
        <v>25</v>
      </c>
      <c r="D12" s="16">
        <v>5613175642</v>
      </c>
      <c r="E12" s="16">
        <v>5370000000</v>
      </c>
      <c r="F12" s="16">
        <v>5759976540</v>
      </c>
      <c r="G12" s="16">
        <f t="shared" si="2"/>
        <v>-30976540</v>
      </c>
      <c r="H12" s="16">
        <v>0</v>
      </c>
      <c r="I12" s="16">
        <v>0</v>
      </c>
      <c r="J12" s="16">
        <v>0</v>
      </c>
      <c r="K12" s="16">
        <v>5729000000</v>
      </c>
      <c r="L12" s="149"/>
      <c r="M12" s="122"/>
      <c r="N12" s="122"/>
    </row>
    <row r="13" spans="1:14" ht="12.75" customHeight="1" x14ac:dyDescent="0.25">
      <c r="B13" s="11" t="s">
        <v>22</v>
      </c>
      <c r="C13" s="11" t="s">
        <v>155</v>
      </c>
      <c r="D13" s="16">
        <v>845599239.59000003</v>
      </c>
      <c r="E13" s="16">
        <v>1888122325</v>
      </c>
      <c r="F13" s="16">
        <v>1584640176</v>
      </c>
      <c r="G13" s="16">
        <f t="shared" si="2"/>
        <v>805592389</v>
      </c>
      <c r="H13" s="16">
        <v>0</v>
      </c>
      <c r="I13" s="16">
        <v>0</v>
      </c>
      <c r="J13" s="16">
        <v>0</v>
      </c>
      <c r="K13" s="16">
        <v>2390232565</v>
      </c>
      <c r="L13" s="149"/>
      <c r="M13" s="122"/>
      <c r="N13" s="122"/>
    </row>
    <row r="14" spans="1:14" ht="12.75" customHeight="1" x14ac:dyDescent="0.25">
      <c r="B14" s="11" t="s">
        <v>20</v>
      </c>
      <c r="C14" s="11" t="s">
        <v>19</v>
      </c>
      <c r="D14" s="16">
        <v>2390253092.6500001</v>
      </c>
      <c r="E14" s="16">
        <v>2300000000</v>
      </c>
      <c r="F14" s="16">
        <v>2600000000</v>
      </c>
      <c r="G14" s="16">
        <f t="shared" si="2"/>
        <v>0</v>
      </c>
      <c r="H14" s="16">
        <v>0</v>
      </c>
      <c r="I14" s="16">
        <v>0</v>
      </c>
      <c r="J14" s="16">
        <v>0</v>
      </c>
      <c r="K14" s="16">
        <v>2600000000</v>
      </c>
      <c r="L14" s="149"/>
      <c r="M14" s="122"/>
      <c r="N14" s="122"/>
    </row>
    <row r="15" spans="1:14" ht="12.75" customHeight="1" x14ac:dyDescent="0.25">
      <c r="B15" s="9" t="s">
        <v>1</v>
      </c>
      <c r="C15" s="9" t="s">
        <v>157</v>
      </c>
      <c r="D15" s="19">
        <v>116448243.14</v>
      </c>
      <c r="E15" s="19">
        <v>100000000</v>
      </c>
      <c r="F15" s="19">
        <v>100000000</v>
      </c>
      <c r="G15" s="19">
        <f t="shared" si="2"/>
        <v>0</v>
      </c>
      <c r="H15" s="19">
        <v>0</v>
      </c>
      <c r="I15" s="19">
        <v>0</v>
      </c>
      <c r="J15" s="19">
        <v>0</v>
      </c>
      <c r="K15" s="19">
        <v>100000000</v>
      </c>
      <c r="L15" s="149"/>
      <c r="M15" s="122"/>
      <c r="N15" s="122"/>
    </row>
    <row r="16" spans="1:14" s="1" customFormat="1" ht="3" customHeight="1" x14ac:dyDescent="0.25">
      <c r="B16" s="34"/>
      <c r="C16" s="34"/>
      <c r="D16" s="16"/>
      <c r="E16" s="16"/>
      <c r="F16" s="16"/>
      <c r="G16" s="16"/>
      <c r="H16" s="16"/>
      <c r="I16" s="16"/>
      <c r="J16" s="16"/>
      <c r="K16" s="16"/>
      <c r="L16" s="149"/>
      <c r="M16" s="122"/>
      <c r="N16" s="122"/>
    </row>
    <row r="17" spans="2:14" ht="12.75" customHeight="1" x14ac:dyDescent="0.25">
      <c r="B17" s="41"/>
      <c r="C17" s="41" t="s">
        <v>160</v>
      </c>
      <c r="D17" s="42">
        <f t="shared" ref="D17:K17" si="3">D18-SUM(D19:D21)</f>
        <v>56825361111.090004</v>
      </c>
      <c r="E17" s="42">
        <f t="shared" si="3"/>
        <v>72046845041</v>
      </c>
      <c r="F17" s="129">
        <f t="shared" si="3"/>
        <v>57699879862</v>
      </c>
      <c r="G17" s="129">
        <f t="shared" si="3"/>
        <v>-109831868.51898766</v>
      </c>
      <c r="H17" s="129">
        <f t="shared" si="3"/>
        <v>-1513500941.4810123</v>
      </c>
      <c r="I17" s="129">
        <f t="shared" si="3"/>
        <v>169079015</v>
      </c>
      <c r="J17" s="129">
        <f t="shared" si="3"/>
        <v>0</v>
      </c>
      <c r="K17" s="42">
        <f t="shared" si="3"/>
        <v>56245626067</v>
      </c>
      <c r="L17" s="149"/>
      <c r="M17" s="122"/>
      <c r="N17" s="122"/>
    </row>
    <row r="18" spans="2:14" ht="12.75" customHeight="1" x14ac:dyDescent="0.25">
      <c r="B18" s="39">
        <v>1301</v>
      </c>
      <c r="C18" s="39" t="s">
        <v>109</v>
      </c>
      <c r="D18" s="35">
        <v>82712089405.440002</v>
      </c>
      <c r="E18" s="35">
        <v>91291375411</v>
      </c>
      <c r="F18" s="35">
        <v>84059983697</v>
      </c>
      <c r="G18" s="35">
        <f>K18-F18-H18-I18-J18</f>
        <v>-2946374740.5189877</v>
      </c>
      <c r="H18" s="128">
        <v>-1513500941.4810123</v>
      </c>
      <c r="I18" s="35">
        <v>169079015</v>
      </c>
      <c r="J18" s="128">
        <v>0</v>
      </c>
      <c r="K18" s="35">
        <v>79769187030</v>
      </c>
      <c r="L18" s="149"/>
      <c r="M18" s="122"/>
      <c r="N18" s="122"/>
    </row>
    <row r="19" spans="2:14" ht="12.75" customHeight="1" x14ac:dyDescent="0.25">
      <c r="B19" s="11" t="s">
        <v>46</v>
      </c>
      <c r="C19" s="11" t="s">
        <v>31</v>
      </c>
      <c r="D19" s="16">
        <v>17877682970.779999</v>
      </c>
      <c r="E19" s="16">
        <v>11382168515</v>
      </c>
      <c r="F19" s="16">
        <v>18454471940</v>
      </c>
      <c r="G19" s="16">
        <f t="shared" ref="G19:G21" si="4">K19-F19-H19-I19-J19</f>
        <v>-2933359658</v>
      </c>
      <c r="H19" s="125">
        <v>0</v>
      </c>
      <c r="I19" s="16">
        <v>0</v>
      </c>
      <c r="J19" s="16">
        <v>0</v>
      </c>
      <c r="K19" s="16">
        <v>15521112282</v>
      </c>
      <c r="L19" s="149"/>
      <c r="M19" s="122"/>
      <c r="N19" s="122"/>
    </row>
    <row r="20" spans="2:14" ht="12.75" customHeight="1" x14ac:dyDescent="0.25">
      <c r="B20" s="11" t="s">
        <v>32</v>
      </c>
      <c r="C20" s="11" t="s">
        <v>31</v>
      </c>
      <c r="D20" s="16">
        <v>7149259252.3999996</v>
      </c>
      <c r="E20" s="16">
        <v>6337938267</v>
      </c>
      <c r="F20" s="16">
        <v>6605331940</v>
      </c>
      <c r="G20" s="16">
        <f t="shared" si="4"/>
        <v>97116741</v>
      </c>
      <c r="H20" s="16">
        <v>0</v>
      </c>
      <c r="I20" s="16">
        <v>0</v>
      </c>
      <c r="J20" s="16">
        <v>0</v>
      </c>
      <c r="K20" s="16">
        <v>6702448681</v>
      </c>
      <c r="L20" s="149"/>
      <c r="M20" s="122"/>
      <c r="N20" s="122"/>
    </row>
    <row r="21" spans="2:14" ht="12.75" customHeight="1" x14ac:dyDescent="0.25">
      <c r="B21" s="9" t="s">
        <v>17</v>
      </c>
      <c r="C21" s="9" t="s">
        <v>16</v>
      </c>
      <c r="D21" s="19">
        <v>859786071.16999996</v>
      </c>
      <c r="E21" s="19">
        <v>1524423588</v>
      </c>
      <c r="F21" s="19">
        <v>1300299955</v>
      </c>
      <c r="G21" s="19">
        <f t="shared" si="4"/>
        <v>-299955</v>
      </c>
      <c r="H21" s="19">
        <v>0</v>
      </c>
      <c r="I21" s="19">
        <v>0</v>
      </c>
      <c r="J21" s="19">
        <v>0</v>
      </c>
      <c r="K21" s="19">
        <v>1300000000</v>
      </c>
      <c r="L21" s="149"/>
      <c r="M21" s="122"/>
      <c r="N21" s="122"/>
    </row>
    <row r="22" spans="2:14" s="1" customFormat="1" ht="3" customHeight="1" x14ac:dyDescent="0.25">
      <c r="B22" s="34"/>
      <c r="C22" s="34"/>
      <c r="D22" s="16"/>
      <c r="E22" s="16"/>
      <c r="F22" s="16"/>
      <c r="G22" s="16"/>
      <c r="H22" s="16"/>
      <c r="I22" s="16"/>
      <c r="J22" s="16"/>
      <c r="K22" s="16"/>
      <c r="L22" s="149"/>
      <c r="M22" s="122"/>
      <c r="N22" s="122"/>
    </row>
    <row r="23" spans="2:14" ht="12.75" customHeight="1" x14ac:dyDescent="0.25">
      <c r="B23" s="41"/>
      <c r="C23" s="41" t="s">
        <v>162</v>
      </c>
      <c r="D23" s="42">
        <f>D24-D25</f>
        <v>16803546915.519999</v>
      </c>
      <c r="E23" s="42">
        <f>E24-E25</f>
        <v>15390076907.709999</v>
      </c>
      <c r="F23" s="42">
        <f>F24-F25</f>
        <v>15531688623</v>
      </c>
      <c r="G23" s="42">
        <f t="shared" ref="G23:J23" si="5">G24-G25</f>
        <v>-114067226.52501845</v>
      </c>
      <c r="H23" s="42">
        <f t="shared" si="5"/>
        <v>487293020.52501845</v>
      </c>
      <c r="I23" s="42">
        <f t="shared" si="5"/>
        <v>0</v>
      </c>
      <c r="J23" s="42">
        <f t="shared" si="5"/>
        <v>591000000</v>
      </c>
      <c r="K23" s="42">
        <f>K24-K25</f>
        <v>16495914417</v>
      </c>
      <c r="L23" s="149"/>
      <c r="M23" s="122"/>
      <c r="N23" s="122"/>
    </row>
    <row r="24" spans="2:14" ht="12.75" customHeight="1" x14ac:dyDescent="0.25">
      <c r="B24" s="39">
        <v>1501</v>
      </c>
      <c r="C24" s="39" t="s">
        <v>161</v>
      </c>
      <c r="D24" s="35">
        <v>18714018029.529999</v>
      </c>
      <c r="E24" s="35">
        <v>17379831357.709999</v>
      </c>
      <c r="F24" s="35">
        <v>17582731842</v>
      </c>
      <c r="G24" s="35">
        <f t="shared" ref="G24:G25" si="6">K24-F24-H24-I24-J24</f>
        <v>-603063327.52501845</v>
      </c>
      <c r="H24" s="128">
        <v>487293020.52501845</v>
      </c>
      <c r="I24" s="35"/>
      <c r="J24" s="147">
        <f>'MP et MT'!G12</f>
        <v>591000000</v>
      </c>
      <c r="K24" s="35">
        <v>18057961535</v>
      </c>
      <c r="L24" s="149"/>
      <c r="M24" s="122"/>
      <c r="N24" s="122"/>
    </row>
    <row r="25" spans="2:14" ht="12.75" customHeight="1" x14ac:dyDescent="0.25">
      <c r="B25" s="9" t="s">
        <v>29</v>
      </c>
      <c r="C25" s="9" t="s">
        <v>85</v>
      </c>
      <c r="D25" s="19">
        <v>1910471114.01</v>
      </c>
      <c r="E25" s="19">
        <v>1989754450</v>
      </c>
      <c r="F25" s="19">
        <v>2051043219</v>
      </c>
      <c r="G25" s="19">
        <f t="shared" si="6"/>
        <v>-488996101</v>
      </c>
      <c r="H25" s="19">
        <v>0</v>
      </c>
      <c r="I25" s="19">
        <v>0</v>
      </c>
      <c r="J25" s="19">
        <v>0</v>
      </c>
      <c r="K25" s="19">
        <v>1562047118</v>
      </c>
      <c r="L25" s="149"/>
      <c r="M25" s="122"/>
      <c r="N25" s="122"/>
    </row>
    <row r="26" spans="2:14" s="1" customFormat="1" ht="3" customHeight="1" x14ac:dyDescent="0.25">
      <c r="B26" s="34"/>
      <c r="C26" s="34"/>
      <c r="D26" s="16"/>
      <c r="E26" s="16"/>
      <c r="F26" s="16"/>
      <c r="G26" s="16"/>
      <c r="H26" s="16"/>
      <c r="I26" s="16"/>
      <c r="J26" s="16"/>
      <c r="K26" s="16"/>
      <c r="L26" s="149"/>
      <c r="M26" s="122"/>
      <c r="N26" s="122"/>
    </row>
    <row r="27" spans="2:14" ht="12.75" customHeight="1" x14ac:dyDescent="0.25">
      <c r="B27" s="41"/>
      <c r="C27" s="41" t="s">
        <v>164</v>
      </c>
      <c r="D27" s="42">
        <f>D28-D29-D30</f>
        <v>95187677890.460007</v>
      </c>
      <c r="E27" s="42">
        <f>E28-E29-E30</f>
        <v>100805811240</v>
      </c>
      <c r="F27" s="42">
        <f>F28-F29-F30</f>
        <v>96050902447</v>
      </c>
      <c r="G27" s="42">
        <f t="shared" ref="G27:J27" si="7">G28-G29-G30</f>
        <v>1941667688.8184099</v>
      </c>
      <c r="H27" s="129">
        <f t="shared" si="7"/>
        <v>4383010561.1815901</v>
      </c>
      <c r="I27" s="129">
        <f t="shared" si="7"/>
        <v>1620000000</v>
      </c>
      <c r="J27" s="129">
        <f t="shared" si="7"/>
        <v>2227000000</v>
      </c>
      <c r="K27" s="42">
        <f>K28-K29-K30</f>
        <v>106222580697</v>
      </c>
      <c r="L27" s="149"/>
      <c r="M27" s="122"/>
      <c r="N27" s="122"/>
    </row>
    <row r="28" spans="2:14" ht="12.75" customHeight="1" x14ac:dyDescent="0.25">
      <c r="B28" s="39">
        <v>1601</v>
      </c>
      <c r="C28" s="39" t="s">
        <v>163</v>
      </c>
      <c r="D28" s="35">
        <v>172800489901.38</v>
      </c>
      <c r="E28" s="35">
        <v>184258641099</v>
      </c>
      <c r="F28" s="35">
        <v>176938872861</v>
      </c>
      <c r="G28" s="35">
        <f t="shared" ref="G28:G30" si="8">K28-F28-H28-I28-J28</f>
        <v>4731809275.8184099</v>
      </c>
      <c r="H28" s="128">
        <v>4383010561.1815901</v>
      </c>
      <c r="I28" s="128">
        <f>'MN au présent PLF'!F13+'MN au présent PLF'!F14+'MN au présent PLF'!F15</f>
        <v>1620000000</v>
      </c>
      <c r="J28" s="128">
        <f>'MP et MT'!H8</f>
        <v>2227000000</v>
      </c>
      <c r="K28" s="35">
        <v>189900692698</v>
      </c>
      <c r="L28" s="149"/>
      <c r="M28" s="122"/>
      <c r="N28" s="122"/>
    </row>
    <row r="29" spans="2:14" ht="12.75" customHeight="1" x14ac:dyDescent="0.25">
      <c r="B29" s="11" t="s">
        <v>45</v>
      </c>
      <c r="C29" s="11" t="s">
        <v>44</v>
      </c>
      <c r="D29" s="16">
        <v>74017246391.729996</v>
      </c>
      <c r="E29" s="16">
        <v>79326599860</v>
      </c>
      <c r="F29" s="16">
        <v>77587385418</v>
      </c>
      <c r="G29" s="16">
        <f t="shared" si="8"/>
        <v>2727812663</v>
      </c>
      <c r="H29" s="125">
        <v>0</v>
      </c>
      <c r="I29" s="16">
        <v>0</v>
      </c>
      <c r="J29" s="16">
        <v>0</v>
      </c>
      <c r="K29" s="16">
        <v>80315198081</v>
      </c>
      <c r="L29" s="149"/>
      <c r="M29" s="122"/>
      <c r="N29" s="122"/>
    </row>
    <row r="30" spans="2:14" ht="12.75" customHeight="1" x14ac:dyDescent="0.25">
      <c r="B30" s="9" t="s">
        <v>12</v>
      </c>
      <c r="C30" s="9" t="s">
        <v>11</v>
      </c>
      <c r="D30" s="19">
        <v>3595565619.1900001</v>
      </c>
      <c r="E30" s="19">
        <v>4126229999</v>
      </c>
      <c r="F30" s="19">
        <v>3300584996</v>
      </c>
      <c r="G30" s="19">
        <f t="shared" si="8"/>
        <v>62328924</v>
      </c>
      <c r="H30" s="19">
        <v>0</v>
      </c>
      <c r="I30" s="19">
        <v>0</v>
      </c>
      <c r="J30" s="19">
        <v>0</v>
      </c>
      <c r="K30" s="19">
        <v>3362913920</v>
      </c>
      <c r="L30" s="149"/>
      <c r="M30" s="122"/>
      <c r="N30" s="122"/>
    </row>
    <row r="31" spans="2:14" s="1" customFormat="1" ht="3" customHeight="1" x14ac:dyDescent="0.25">
      <c r="B31" s="34"/>
      <c r="C31" s="34"/>
      <c r="D31" s="16"/>
      <c r="E31" s="16"/>
      <c r="F31" s="16"/>
      <c r="G31" s="16"/>
      <c r="H31" s="16"/>
      <c r="I31" s="16"/>
      <c r="J31" s="16"/>
      <c r="K31" s="16"/>
      <c r="L31" s="149"/>
      <c r="M31" s="122"/>
      <c r="N31" s="122"/>
    </row>
    <row r="32" spans="2:14" ht="12.75" customHeight="1" x14ac:dyDescent="0.25">
      <c r="B32" s="41"/>
      <c r="C32" s="41" t="s">
        <v>165</v>
      </c>
      <c r="D32" s="42">
        <f t="shared" ref="D32:J32" si="9">SUM(D33:D97)-SUM(D98:D108)</f>
        <v>65496919372.170013</v>
      </c>
      <c r="E32" s="42">
        <f t="shared" si="9"/>
        <v>66874913131.741959</v>
      </c>
      <c r="F32" s="42">
        <f t="shared" si="9"/>
        <v>65137072851</v>
      </c>
      <c r="G32" s="42">
        <f>SUM(G33:G97)-SUM(G98:G108)</f>
        <v>2070311589.8631423</v>
      </c>
      <c r="H32" s="42">
        <f>SUM(H33:H97)-SUM(H98:H108)</f>
        <v>3911874968.7434478</v>
      </c>
      <c r="I32" s="42">
        <f>SUM(I33:I97)-SUM(I98:I108)</f>
        <v>12803846753.39341</v>
      </c>
      <c r="J32" s="42">
        <f t="shared" si="9"/>
        <v>923000000</v>
      </c>
      <c r="K32" s="42">
        <f>K6-K8-K17-K23-K27</f>
        <v>84846499282.258789</v>
      </c>
      <c r="L32" s="149"/>
      <c r="M32" s="122"/>
      <c r="N32" s="122"/>
    </row>
    <row r="33" spans="2:14" ht="12.75" customHeight="1" x14ac:dyDescent="0.25">
      <c r="B33" s="39">
        <v>1201</v>
      </c>
      <c r="C33" s="39" t="s">
        <v>107</v>
      </c>
      <c r="D33" s="35">
        <v>2450647276.79</v>
      </c>
      <c r="E33" s="35">
        <v>2632399488.741961</v>
      </c>
      <c r="F33" s="35">
        <v>2848300000</v>
      </c>
      <c r="G33" s="35">
        <f t="shared" ref="G33:G101" si="10">K33-F33-H33-I33-J33</f>
        <v>50600000</v>
      </c>
      <c r="H33" s="35">
        <v>0</v>
      </c>
      <c r="I33" s="35">
        <v>0</v>
      </c>
      <c r="J33" s="35">
        <v>0</v>
      </c>
      <c r="K33" s="35">
        <v>2898900000</v>
      </c>
      <c r="L33" s="149"/>
      <c r="M33" s="122"/>
      <c r="N33" s="122"/>
    </row>
    <row r="34" spans="2:14" ht="12.75" customHeight="1" x14ac:dyDescent="0.25">
      <c r="B34" s="11">
        <v>1302</v>
      </c>
      <c r="C34" s="11" t="s">
        <v>106</v>
      </c>
      <c r="D34" s="16">
        <v>1406384135.5999999</v>
      </c>
      <c r="E34" s="16">
        <v>1741600000</v>
      </c>
      <c r="F34" s="16">
        <v>1591000000</v>
      </c>
      <c r="G34" s="16">
        <f t="shared" si="10"/>
        <v>-16000000</v>
      </c>
      <c r="H34" s="16">
        <v>0</v>
      </c>
      <c r="I34" s="16">
        <v>0</v>
      </c>
      <c r="J34" s="16">
        <v>0</v>
      </c>
      <c r="K34" s="16">
        <v>1575000000</v>
      </c>
      <c r="L34" s="149"/>
      <c r="M34" s="122"/>
      <c r="N34" s="122"/>
    </row>
    <row r="35" spans="2:14" ht="12.75" customHeight="1" x14ac:dyDescent="0.25">
      <c r="B35" s="11">
        <v>1303</v>
      </c>
      <c r="C35" s="11" t="s">
        <v>105</v>
      </c>
      <c r="D35" s="16">
        <v>313629013</v>
      </c>
      <c r="E35" s="16">
        <v>341000000</v>
      </c>
      <c r="F35" s="16">
        <v>586000000</v>
      </c>
      <c r="G35" s="16">
        <f t="shared" si="10"/>
        <v>-281000000</v>
      </c>
      <c r="H35" s="16">
        <v>0</v>
      </c>
      <c r="I35" s="16">
        <v>0</v>
      </c>
      <c r="J35" s="16">
        <v>0</v>
      </c>
      <c r="K35" s="16">
        <v>305000000</v>
      </c>
      <c r="L35" s="149"/>
      <c r="M35" s="122"/>
      <c r="N35" s="122"/>
    </row>
    <row r="36" spans="2:14" ht="12.75" customHeight="1" x14ac:dyDescent="0.25">
      <c r="B36" s="11">
        <v>1401</v>
      </c>
      <c r="C36" s="11" t="s">
        <v>104</v>
      </c>
      <c r="D36" s="16">
        <v>1305345196.9200001</v>
      </c>
      <c r="E36" s="16">
        <v>1080000000</v>
      </c>
      <c r="F36" s="16">
        <v>1400000000</v>
      </c>
      <c r="G36" s="16">
        <f t="shared" si="10"/>
        <v>-270779901</v>
      </c>
      <c r="H36" s="16">
        <v>0</v>
      </c>
      <c r="I36" s="16">
        <v>0</v>
      </c>
      <c r="J36" s="16">
        <v>0</v>
      </c>
      <c r="K36" s="16">
        <v>1129220099</v>
      </c>
      <c r="L36" s="149"/>
      <c r="M36" s="122"/>
      <c r="N36" s="122"/>
    </row>
    <row r="37" spans="2:14" ht="12.75" customHeight="1" x14ac:dyDescent="0.25">
      <c r="B37" s="11">
        <v>1402</v>
      </c>
      <c r="C37" s="11" t="s">
        <v>103</v>
      </c>
      <c r="D37" s="16">
        <v>4968661941.1499996</v>
      </c>
      <c r="E37" s="16">
        <v>4800000000</v>
      </c>
      <c r="F37" s="16">
        <v>5000000000</v>
      </c>
      <c r="G37" s="16">
        <f t="shared" si="10"/>
        <v>100000000</v>
      </c>
      <c r="H37" s="16">
        <v>0</v>
      </c>
      <c r="I37" s="16">
        <v>0</v>
      </c>
      <c r="J37" s="16">
        <v>0</v>
      </c>
      <c r="K37" s="16">
        <v>5100000000</v>
      </c>
      <c r="L37" s="149"/>
      <c r="M37" s="122"/>
      <c r="N37" s="122"/>
    </row>
    <row r="38" spans="2:14" ht="12.75" customHeight="1" x14ac:dyDescent="0.25">
      <c r="B38" s="11">
        <v>1404</v>
      </c>
      <c r="C38" s="11" t="s">
        <v>102</v>
      </c>
      <c r="D38" s="16">
        <v>170520114.5</v>
      </c>
      <c r="E38" s="16">
        <v>0</v>
      </c>
      <c r="F38" s="16">
        <v>0</v>
      </c>
      <c r="G38" s="16">
        <f t="shared" si="10"/>
        <v>0</v>
      </c>
      <c r="H38" s="16">
        <v>0</v>
      </c>
      <c r="I38" s="16">
        <v>0</v>
      </c>
      <c r="J38" s="16">
        <v>0</v>
      </c>
      <c r="K38" s="16">
        <v>0</v>
      </c>
      <c r="L38" s="149"/>
      <c r="M38" s="122"/>
      <c r="N38" s="122"/>
    </row>
    <row r="39" spans="2:14" ht="12.75" customHeight="1" x14ac:dyDescent="0.25">
      <c r="B39" s="11">
        <v>1405</v>
      </c>
      <c r="C39" s="11" t="s">
        <v>101</v>
      </c>
      <c r="D39" s="16">
        <v>1135409.45</v>
      </c>
      <c r="E39" s="16">
        <v>0</v>
      </c>
      <c r="F39" s="16">
        <v>1135409</v>
      </c>
      <c r="G39" s="16">
        <f t="shared" si="10"/>
        <v>0</v>
      </c>
      <c r="H39" s="16">
        <v>0</v>
      </c>
      <c r="I39" s="16">
        <v>0</v>
      </c>
      <c r="J39" s="16">
        <v>0</v>
      </c>
      <c r="K39" s="16">
        <v>1135409</v>
      </c>
      <c r="L39" s="149"/>
      <c r="M39" s="122"/>
      <c r="N39" s="122"/>
    </row>
    <row r="40" spans="2:14" ht="12.75" customHeight="1" x14ac:dyDescent="0.25">
      <c r="B40" s="11">
        <v>1406</v>
      </c>
      <c r="C40" s="11" t="s">
        <v>100</v>
      </c>
      <c r="D40" s="16">
        <v>2354324386.2600002</v>
      </c>
      <c r="E40" s="16">
        <v>2439000000</v>
      </c>
      <c r="F40" s="16">
        <v>2548301800</v>
      </c>
      <c r="G40" s="16">
        <f t="shared" si="10"/>
        <v>-108133518</v>
      </c>
      <c r="H40" s="16">
        <v>0</v>
      </c>
      <c r="I40" s="16">
        <v>0</v>
      </c>
      <c r="J40" s="16">
        <v>0</v>
      </c>
      <c r="K40" s="16">
        <v>2440168282</v>
      </c>
      <c r="L40" s="149"/>
      <c r="M40" s="122"/>
      <c r="N40" s="122"/>
    </row>
    <row r="41" spans="2:14" ht="12.75" customHeight="1" x14ac:dyDescent="0.25">
      <c r="B41" s="11">
        <v>1407</v>
      </c>
      <c r="C41" s="11" t="s">
        <v>99</v>
      </c>
      <c r="D41" s="16">
        <v>16128379.029999999</v>
      </c>
      <c r="E41" s="16">
        <v>15000000</v>
      </c>
      <c r="F41" s="16">
        <v>16666583</v>
      </c>
      <c r="G41" s="16">
        <f t="shared" si="10"/>
        <v>442726</v>
      </c>
      <c r="H41" s="16">
        <v>0</v>
      </c>
      <c r="I41" s="16">
        <v>0</v>
      </c>
      <c r="J41" s="16">
        <v>0</v>
      </c>
      <c r="K41" s="16">
        <v>17109309</v>
      </c>
      <c r="L41" s="149"/>
      <c r="M41" s="122"/>
      <c r="N41" s="122"/>
    </row>
    <row r="42" spans="2:14" ht="12.75" customHeight="1" x14ac:dyDescent="0.25">
      <c r="B42" s="11">
        <v>1408</v>
      </c>
      <c r="C42" s="11" t="s">
        <v>98</v>
      </c>
      <c r="D42" s="16">
        <v>229643508</v>
      </c>
      <c r="E42" s="16">
        <v>162000000</v>
      </c>
      <c r="F42" s="16">
        <v>154637111</v>
      </c>
      <c r="G42" s="16">
        <f t="shared" si="10"/>
        <v>4107738</v>
      </c>
      <c r="H42" s="16">
        <v>0</v>
      </c>
      <c r="I42" s="16">
        <v>0</v>
      </c>
      <c r="J42" s="16">
        <v>0</v>
      </c>
      <c r="K42" s="16">
        <v>158744849</v>
      </c>
      <c r="L42" s="149"/>
      <c r="M42" s="122"/>
      <c r="N42" s="122"/>
    </row>
    <row r="43" spans="2:14" ht="12.75" customHeight="1" x14ac:dyDescent="0.25">
      <c r="B43" s="11">
        <v>1410</v>
      </c>
      <c r="C43" s="11" t="s">
        <v>97</v>
      </c>
      <c r="D43" s="16">
        <v>822827.91</v>
      </c>
      <c r="E43" s="16">
        <v>1000000</v>
      </c>
      <c r="F43" s="16">
        <v>822828</v>
      </c>
      <c r="G43" s="16">
        <f t="shared" si="10"/>
        <v>0</v>
      </c>
      <c r="H43" s="16">
        <v>0</v>
      </c>
      <c r="I43" s="16">
        <v>0</v>
      </c>
      <c r="J43" s="16">
        <v>0</v>
      </c>
      <c r="K43" s="16">
        <v>822828</v>
      </c>
      <c r="L43" s="149"/>
      <c r="M43" s="122"/>
      <c r="N43" s="122"/>
    </row>
    <row r="44" spans="2:14" ht="12.75" customHeight="1" x14ac:dyDescent="0.25">
      <c r="B44" s="11">
        <v>1411</v>
      </c>
      <c r="C44" s="11" t="s">
        <v>96</v>
      </c>
      <c r="D44" s="16">
        <v>25569895.670000002</v>
      </c>
      <c r="E44" s="16">
        <v>34000000</v>
      </c>
      <c r="F44" s="16">
        <v>26423163</v>
      </c>
      <c r="G44" s="16">
        <f t="shared" si="10"/>
        <v>701898</v>
      </c>
      <c r="H44" s="16">
        <v>0</v>
      </c>
      <c r="I44" s="16">
        <v>0</v>
      </c>
      <c r="J44" s="16">
        <v>0</v>
      </c>
      <c r="K44" s="16">
        <v>27125061</v>
      </c>
      <c r="L44" s="149"/>
      <c r="M44" s="122"/>
      <c r="N44" s="122"/>
    </row>
    <row r="45" spans="2:14" ht="12.75" customHeight="1" x14ac:dyDescent="0.25">
      <c r="B45" s="11">
        <v>1412</v>
      </c>
      <c r="C45" s="11" t="s">
        <v>95</v>
      </c>
      <c r="D45" s="16">
        <v>42820545.829999998</v>
      </c>
      <c r="E45" s="16">
        <v>42000000</v>
      </c>
      <c r="F45" s="16">
        <v>44249467</v>
      </c>
      <c r="G45" s="16">
        <f t="shared" si="10"/>
        <v>1175431</v>
      </c>
      <c r="H45" s="16">
        <v>0</v>
      </c>
      <c r="I45" s="16">
        <v>0</v>
      </c>
      <c r="J45" s="16">
        <v>0</v>
      </c>
      <c r="K45" s="16">
        <v>45424898</v>
      </c>
      <c r="L45" s="149"/>
      <c r="M45" s="122"/>
      <c r="N45" s="122"/>
    </row>
    <row r="46" spans="2:14" ht="12.75" customHeight="1" x14ac:dyDescent="0.25">
      <c r="B46" s="11">
        <v>1413</v>
      </c>
      <c r="C46" s="11" t="s">
        <v>94</v>
      </c>
      <c r="D46" s="16">
        <v>111955940.03</v>
      </c>
      <c r="E46" s="16">
        <v>123000000</v>
      </c>
      <c r="F46" s="16">
        <v>115691909</v>
      </c>
      <c r="G46" s="16">
        <f t="shared" si="10"/>
        <v>3073208</v>
      </c>
      <c r="H46" s="16">
        <v>0</v>
      </c>
      <c r="I46" s="16">
        <v>0</v>
      </c>
      <c r="J46" s="16">
        <v>0</v>
      </c>
      <c r="K46" s="16">
        <v>118765117</v>
      </c>
      <c r="L46" s="149"/>
      <c r="M46" s="122"/>
      <c r="N46" s="122"/>
    </row>
    <row r="47" spans="2:14" ht="12.75" customHeight="1" x14ac:dyDescent="0.25">
      <c r="B47" s="11">
        <v>1415</v>
      </c>
      <c r="C47" s="11" t="s">
        <v>93</v>
      </c>
      <c r="D47" s="16">
        <v>52524.79</v>
      </c>
      <c r="E47" s="16">
        <v>0</v>
      </c>
      <c r="F47" s="16">
        <v>0</v>
      </c>
      <c r="G47" s="16">
        <f t="shared" si="10"/>
        <v>0</v>
      </c>
      <c r="H47" s="16">
        <v>0</v>
      </c>
      <c r="I47" s="16">
        <v>0</v>
      </c>
      <c r="J47" s="16">
        <v>0</v>
      </c>
      <c r="K47" s="16">
        <v>0</v>
      </c>
      <c r="L47" s="149"/>
      <c r="M47" s="122"/>
      <c r="N47" s="122"/>
    </row>
    <row r="48" spans="2:14" ht="12.75" customHeight="1" x14ac:dyDescent="0.25">
      <c r="B48" s="11">
        <v>1416</v>
      </c>
      <c r="C48" s="11" t="s">
        <v>92</v>
      </c>
      <c r="D48" s="16">
        <v>214036624.41999999</v>
      </c>
      <c r="E48" s="16">
        <v>226000000</v>
      </c>
      <c r="F48" s="16">
        <v>227942530</v>
      </c>
      <c r="G48" s="16">
        <f t="shared" si="10"/>
        <v>7606441</v>
      </c>
      <c r="H48" s="16">
        <v>0</v>
      </c>
      <c r="I48" s="16">
        <v>0</v>
      </c>
      <c r="J48" s="16">
        <v>0</v>
      </c>
      <c r="K48" s="16">
        <v>235548971</v>
      </c>
      <c r="L48" s="149"/>
      <c r="M48" s="122"/>
      <c r="N48" s="122"/>
    </row>
    <row r="49" spans="2:14" ht="12.75" customHeight="1" x14ac:dyDescent="0.25">
      <c r="B49" s="11">
        <v>1421</v>
      </c>
      <c r="C49" s="11" t="s">
        <v>91</v>
      </c>
      <c r="D49" s="16">
        <v>1204927</v>
      </c>
      <c r="E49" s="16">
        <v>1000000</v>
      </c>
      <c r="F49" s="16">
        <v>1204927</v>
      </c>
      <c r="G49" s="16">
        <f t="shared" si="10"/>
        <v>0</v>
      </c>
      <c r="H49" s="16">
        <v>0</v>
      </c>
      <c r="I49" s="16">
        <v>0</v>
      </c>
      <c r="J49" s="16">
        <v>0</v>
      </c>
      <c r="K49" s="16">
        <v>1204927</v>
      </c>
      <c r="L49" s="149"/>
      <c r="M49" s="122"/>
      <c r="N49" s="122"/>
    </row>
    <row r="50" spans="2:14" ht="12.75" customHeight="1" x14ac:dyDescent="0.25">
      <c r="B50" s="11">
        <v>1427</v>
      </c>
      <c r="C50" s="11" t="s">
        <v>90</v>
      </c>
      <c r="D50" s="16">
        <v>14175590674.120001</v>
      </c>
      <c r="E50" s="16">
        <v>15210000000</v>
      </c>
      <c r="F50" s="16">
        <v>14784909728</v>
      </c>
      <c r="G50" s="16">
        <f t="shared" si="10"/>
        <v>358988211</v>
      </c>
      <c r="H50" s="16">
        <v>0</v>
      </c>
      <c r="I50" s="16">
        <v>0</v>
      </c>
      <c r="J50" s="16">
        <v>0</v>
      </c>
      <c r="K50" s="16">
        <v>15143897939</v>
      </c>
      <c r="L50" s="149"/>
      <c r="M50" s="122"/>
      <c r="N50" s="122"/>
    </row>
    <row r="51" spans="2:14" ht="12.75" customHeight="1" x14ac:dyDescent="0.25">
      <c r="B51" s="11">
        <v>1429</v>
      </c>
      <c r="C51" s="11" t="s">
        <v>185</v>
      </c>
      <c r="D51" s="16">
        <v>0</v>
      </c>
      <c r="E51" s="16">
        <v>0</v>
      </c>
      <c r="F51" s="16">
        <v>0</v>
      </c>
      <c r="G51" s="16">
        <f t="shared" ref="G51" si="11">K51-F51-H51-I51-J51</f>
        <v>0</v>
      </c>
      <c r="H51" s="16">
        <v>0</v>
      </c>
      <c r="I51" s="16">
        <v>0</v>
      </c>
      <c r="J51" s="16">
        <v>0</v>
      </c>
      <c r="K51" s="16">
        <v>0</v>
      </c>
      <c r="L51" s="149"/>
      <c r="M51" s="122"/>
      <c r="N51" s="122"/>
    </row>
    <row r="52" spans="2:14" ht="12.75" customHeight="1" x14ac:dyDescent="0.25">
      <c r="B52" s="11">
        <v>1430</v>
      </c>
      <c r="C52" s="11" t="s">
        <v>89</v>
      </c>
      <c r="D52" s="16">
        <v>680265316</v>
      </c>
      <c r="E52" s="16">
        <v>800000000</v>
      </c>
      <c r="F52" s="16">
        <v>756000000</v>
      </c>
      <c r="G52" s="16">
        <f t="shared" si="10"/>
        <v>18000000</v>
      </c>
      <c r="H52" s="16">
        <v>0</v>
      </c>
      <c r="I52" s="16">
        <v>0</v>
      </c>
      <c r="J52" s="16">
        <v>0</v>
      </c>
      <c r="K52" s="16">
        <v>774000000</v>
      </c>
      <c r="L52" s="149"/>
      <c r="M52" s="122"/>
      <c r="N52" s="122"/>
    </row>
    <row r="53" spans="2:14" ht="12.75" customHeight="1" x14ac:dyDescent="0.25">
      <c r="B53" s="11">
        <v>1431</v>
      </c>
      <c r="C53" s="11" t="s">
        <v>88</v>
      </c>
      <c r="D53" s="16">
        <v>461649551.45999998</v>
      </c>
      <c r="E53" s="16">
        <v>180000000</v>
      </c>
      <c r="F53" s="16">
        <v>147161049</v>
      </c>
      <c r="G53" s="16">
        <f t="shared" si="10"/>
        <v>-147161049</v>
      </c>
      <c r="H53" s="16">
        <v>0</v>
      </c>
      <c r="I53" s="16">
        <v>0</v>
      </c>
      <c r="J53" s="16">
        <v>0</v>
      </c>
      <c r="K53" s="16">
        <v>0</v>
      </c>
      <c r="L53" s="149"/>
      <c r="M53" s="122"/>
      <c r="N53" s="122"/>
    </row>
    <row r="54" spans="2:14" s="111" customFormat="1" ht="12.75" customHeight="1" x14ac:dyDescent="0.25">
      <c r="B54" s="11">
        <v>1440</v>
      </c>
      <c r="C54" s="151" t="s">
        <v>431</v>
      </c>
      <c r="D54" s="16">
        <v>0</v>
      </c>
      <c r="E54" s="16">
        <v>0</v>
      </c>
      <c r="F54" s="125">
        <v>0</v>
      </c>
      <c r="G54" s="125">
        <f>K54-F54-H54-I54-J54</f>
        <v>0</v>
      </c>
      <c r="H54" s="125">
        <v>0</v>
      </c>
      <c r="I54" s="125">
        <f>'MN au présent PLF'!F11</f>
        <v>2000000000</v>
      </c>
      <c r="J54" s="125">
        <v>0</v>
      </c>
      <c r="K54" s="125">
        <v>2000000000</v>
      </c>
      <c r="L54" s="149"/>
      <c r="M54" s="122"/>
      <c r="N54" s="122"/>
    </row>
    <row r="55" spans="2:14" s="111" customFormat="1" ht="12.75" customHeight="1" x14ac:dyDescent="0.25">
      <c r="B55" s="11">
        <v>1441</v>
      </c>
      <c r="C55" s="123" t="s">
        <v>340</v>
      </c>
      <c r="D55" s="16">
        <v>0</v>
      </c>
      <c r="E55" s="16">
        <v>0</v>
      </c>
      <c r="F55" s="125">
        <v>0</v>
      </c>
      <c r="G55" s="125">
        <f t="shared" ref="G55" si="12">K55-F55-H55-I55-J55</f>
        <v>0</v>
      </c>
      <c r="H55" s="125">
        <v>0</v>
      </c>
      <c r="I55" s="125">
        <f>'MN au présent PLF'!F12</f>
        <v>8000000000</v>
      </c>
      <c r="J55" s="125">
        <v>0</v>
      </c>
      <c r="K55" s="125">
        <v>8000000000</v>
      </c>
      <c r="L55" s="149"/>
      <c r="M55" s="122"/>
      <c r="N55" s="122"/>
    </row>
    <row r="56" spans="2:14" ht="12.75" customHeight="1" x14ac:dyDescent="0.25">
      <c r="B56" s="11">
        <v>1497</v>
      </c>
      <c r="C56" s="11" t="s">
        <v>186</v>
      </c>
      <c r="D56" s="16">
        <v>5767249285.79</v>
      </c>
      <c r="E56" s="16">
        <v>4160000000</v>
      </c>
      <c r="F56" s="16">
        <v>4290663216</v>
      </c>
      <c r="G56" s="16">
        <f t="shared" si="10"/>
        <v>-83553333.117249012</v>
      </c>
      <c r="H56" s="125">
        <v>-1286097580.276161</v>
      </c>
      <c r="I56" s="16">
        <f>'MN au présent PLF'!F10</f>
        <v>1103846753.39341</v>
      </c>
      <c r="J56" s="16">
        <v>0</v>
      </c>
      <c r="K56" s="16">
        <v>4024859056</v>
      </c>
      <c r="L56" s="149"/>
      <c r="M56" s="122"/>
      <c r="N56" s="122"/>
    </row>
    <row r="57" spans="2:14" ht="12.75" customHeight="1" x14ac:dyDescent="0.25">
      <c r="B57" s="11">
        <v>1498</v>
      </c>
      <c r="C57" s="11" t="s">
        <v>87</v>
      </c>
      <c r="D57" s="16">
        <v>2141406.04</v>
      </c>
      <c r="E57" s="16">
        <v>1000000</v>
      </c>
      <c r="F57" s="16">
        <v>2292405</v>
      </c>
      <c r="G57" s="16">
        <f t="shared" si="10"/>
        <v>0</v>
      </c>
      <c r="H57" s="16">
        <v>0</v>
      </c>
      <c r="I57" s="16">
        <v>0</v>
      </c>
      <c r="J57" s="16">
        <v>0</v>
      </c>
      <c r="K57" s="16">
        <v>2292405</v>
      </c>
      <c r="L57" s="149"/>
      <c r="M57" s="122"/>
      <c r="N57" s="122"/>
    </row>
    <row r="58" spans="2:14" ht="12.75" customHeight="1" x14ac:dyDescent="0.25">
      <c r="B58" s="11">
        <v>1499</v>
      </c>
      <c r="C58" s="11" t="s">
        <v>86</v>
      </c>
      <c r="D58" s="16">
        <v>937108690.67999995</v>
      </c>
      <c r="E58" s="16">
        <v>1009750000</v>
      </c>
      <c r="F58" s="16">
        <v>1165049340</v>
      </c>
      <c r="G58" s="16">
        <f t="shared" si="10"/>
        <v>47458168</v>
      </c>
      <c r="H58" s="16">
        <v>2000000</v>
      </c>
      <c r="I58" s="16">
        <v>0</v>
      </c>
      <c r="J58" s="16">
        <v>0</v>
      </c>
      <c r="K58" s="16">
        <v>1214507508</v>
      </c>
      <c r="L58" s="149"/>
      <c r="M58" s="122"/>
      <c r="N58" s="122"/>
    </row>
    <row r="59" spans="2:14" ht="12.75" customHeight="1" x14ac:dyDescent="0.25">
      <c r="B59" s="11">
        <v>1701</v>
      </c>
      <c r="C59" s="11" t="s">
        <v>84</v>
      </c>
      <c r="D59" s="16">
        <v>524140920.83999997</v>
      </c>
      <c r="E59" s="16">
        <v>675000000</v>
      </c>
      <c r="F59" s="16">
        <v>541631499</v>
      </c>
      <c r="G59" s="16">
        <f t="shared" si="10"/>
        <v>14387751</v>
      </c>
      <c r="H59" s="16">
        <v>0</v>
      </c>
      <c r="I59" s="16">
        <v>0</v>
      </c>
      <c r="J59" s="16">
        <v>0</v>
      </c>
      <c r="K59" s="16">
        <v>556019250</v>
      </c>
      <c r="L59" s="149"/>
      <c r="M59" s="122"/>
      <c r="N59" s="122"/>
    </row>
    <row r="60" spans="2:14" ht="12.75" customHeight="1" x14ac:dyDescent="0.25">
      <c r="B60" s="11">
        <v>1702</v>
      </c>
      <c r="C60" s="11" t="s">
        <v>83</v>
      </c>
      <c r="D60" s="16">
        <v>242477461.49000001</v>
      </c>
      <c r="E60" s="16">
        <v>231000000</v>
      </c>
      <c r="F60" s="16">
        <v>250568933</v>
      </c>
      <c r="G60" s="16">
        <f t="shared" si="10"/>
        <v>6656044</v>
      </c>
      <c r="H60" s="16">
        <v>0</v>
      </c>
      <c r="I60" s="16">
        <v>0</v>
      </c>
      <c r="J60" s="16">
        <v>0</v>
      </c>
      <c r="K60" s="16">
        <v>257224977</v>
      </c>
      <c r="L60" s="149"/>
      <c r="M60" s="122"/>
      <c r="N60" s="122"/>
    </row>
    <row r="61" spans="2:14" ht="12.75" customHeight="1" x14ac:dyDescent="0.25">
      <c r="B61" s="11">
        <v>1703</v>
      </c>
      <c r="C61" s="11" t="s">
        <v>82</v>
      </c>
      <c r="D61" s="16">
        <v>767182</v>
      </c>
      <c r="E61" s="16">
        <v>0</v>
      </c>
      <c r="F61" s="16">
        <v>767182</v>
      </c>
      <c r="G61" s="16">
        <f t="shared" si="10"/>
        <v>0</v>
      </c>
      <c r="H61" s="16">
        <v>0</v>
      </c>
      <c r="I61" s="16">
        <v>0</v>
      </c>
      <c r="J61" s="16">
        <v>0</v>
      </c>
      <c r="K61" s="16">
        <v>767182</v>
      </c>
      <c r="L61" s="149"/>
      <c r="M61" s="122"/>
      <c r="N61" s="122"/>
    </row>
    <row r="62" spans="2:14" ht="12.75" customHeight="1" x14ac:dyDescent="0.25">
      <c r="B62" s="11">
        <v>1704</v>
      </c>
      <c r="C62" s="11" t="s">
        <v>81</v>
      </c>
      <c r="D62" s="16">
        <v>91612872.969999999</v>
      </c>
      <c r="E62" s="16">
        <v>118000000</v>
      </c>
      <c r="F62" s="16">
        <v>94669994</v>
      </c>
      <c r="G62" s="16">
        <f t="shared" si="10"/>
        <v>2514788</v>
      </c>
      <c r="H62" s="16">
        <v>0</v>
      </c>
      <c r="I62" s="16">
        <v>0</v>
      </c>
      <c r="J62" s="16">
        <v>0</v>
      </c>
      <c r="K62" s="16">
        <v>97184782</v>
      </c>
      <c r="L62" s="149"/>
      <c r="M62" s="122"/>
      <c r="N62" s="122"/>
    </row>
    <row r="63" spans="2:14" ht="12.75" customHeight="1" x14ac:dyDescent="0.25">
      <c r="B63" s="11">
        <v>1705</v>
      </c>
      <c r="C63" s="11" t="s">
        <v>80</v>
      </c>
      <c r="D63" s="16">
        <v>4294159144.04</v>
      </c>
      <c r="E63" s="16">
        <v>3936000000</v>
      </c>
      <c r="F63" s="16">
        <v>4183870877</v>
      </c>
      <c r="G63" s="16">
        <f t="shared" si="10"/>
        <v>-50679034</v>
      </c>
      <c r="H63" s="16">
        <v>0</v>
      </c>
      <c r="I63" s="16">
        <v>0</v>
      </c>
      <c r="J63" s="16">
        <v>0</v>
      </c>
      <c r="K63" s="16">
        <v>4133191843</v>
      </c>
      <c r="L63" s="149"/>
      <c r="M63" s="122"/>
      <c r="N63" s="122"/>
    </row>
    <row r="64" spans="2:14" ht="12.75" customHeight="1" x14ac:dyDescent="0.25">
      <c r="B64" s="11">
        <v>1706</v>
      </c>
      <c r="C64" s="11" t="s">
        <v>79</v>
      </c>
      <c r="D64" s="16">
        <v>16621931637.700001</v>
      </c>
      <c r="E64" s="16">
        <v>15400000000</v>
      </c>
      <c r="F64" s="16">
        <v>15605000000</v>
      </c>
      <c r="G64" s="16">
        <f t="shared" si="10"/>
        <v>47012042</v>
      </c>
      <c r="H64" s="16">
        <v>0</v>
      </c>
      <c r="I64" s="16">
        <v>0</v>
      </c>
      <c r="J64" s="16">
        <v>0</v>
      </c>
      <c r="K64" s="16">
        <v>15652012042</v>
      </c>
      <c r="L64" s="149"/>
      <c r="M64" s="122"/>
      <c r="N64" s="122"/>
    </row>
    <row r="65" spans="2:14" ht="12.75" customHeight="1" x14ac:dyDescent="0.25">
      <c r="B65" s="11">
        <v>1707</v>
      </c>
      <c r="C65" s="11" t="s">
        <v>78</v>
      </c>
      <c r="D65" s="16">
        <v>783055018.16999996</v>
      </c>
      <c r="E65" s="16">
        <v>1022000000</v>
      </c>
      <c r="F65" s="16">
        <v>689088416</v>
      </c>
      <c r="G65" s="16">
        <f t="shared" si="10"/>
        <v>47857500</v>
      </c>
      <c r="H65" s="16">
        <v>0</v>
      </c>
      <c r="I65" s="16">
        <v>0</v>
      </c>
      <c r="J65" s="16">
        <v>0</v>
      </c>
      <c r="K65" s="16">
        <v>736945916</v>
      </c>
      <c r="L65" s="149"/>
      <c r="M65" s="122"/>
      <c r="N65" s="122"/>
    </row>
    <row r="66" spans="2:14" ht="12.75" customHeight="1" x14ac:dyDescent="0.25">
      <c r="B66" s="11">
        <v>1711</v>
      </c>
      <c r="C66" s="11" t="s">
        <v>77</v>
      </c>
      <c r="D66" s="16">
        <v>451501370.94</v>
      </c>
      <c r="E66" s="16">
        <v>528000000</v>
      </c>
      <c r="F66" s="16">
        <v>466567968</v>
      </c>
      <c r="G66" s="16">
        <f t="shared" si="10"/>
        <v>12393784</v>
      </c>
      <c r="H66" s="16">
        <v>0</v>
      </c>
      <c r="I66" s="16">
        <v>0</v>
      </c>
      <c r="J66" s="16">
        <v>0</v>
      </c>
      <c r="K66" s="16">
        <v>478961752</v>
      </c>
      <c r="L66" s="149"/>
      <c r="M66" s="122"/>
      <c r="N66" s="122"/>
    </row>
    <row r="67" spans="2:14" ht="12.75" customHeight="1" x14ac:dyDescent="0.25">
      <c r="B67" s="11">
        <v>1713</v>
      </c>
      <c r="C67" s="11" t="s">
        <v>76</v>
      </c>
      <c r="D67" s="16">
        <v>615402699.57000005</v>
      </c>
      <c r="E67" s="16">
        <v>656000000</v>
      </c>
      <c r="F67" s="16">
        <v>635938683</v>
      </c>
      <c r="G67" s="16">
        <f t="shared" si="10"/>
        <v>16892901</v>
      </c>
      <c r="H67" s="16">
        <v>0</v>
      </c>
      <c r="I67" s="16">
        <v>0</v>
      </c>
      <c r="J67" s="16">
        <v>0</v>
      </c>
      <c r="K67" s="16">
        <v>652831584</v>
      </c>
      <c r="L67" s="149"/>
      <c r="M67" s="122"/>
      <c r="N67" s="122"/>
    </row>
    <row r="68" spans="2:14" ht="12.75" customHeight="1" x14ac:dyDescent="0.25">
      <c r="B68" s="11">
        <v>1714</v>
      </c>
      <c r="C68" s="11" t="s">
        <v>75</v>
      </c>
      <c r="D68" s="16">
        <v>407492366.41000003</v>
      </c>
      <c r="E68" s="16">
        <v>412000000</v>
      </c>
      <c r="F68" s="16">
        <v>421090384</v>
      </c>
      <c r="G68" s="16">
        <f t="shared" si="10"/>
        <v>11185729</v>
      </c>
      <c r="H68" s="16">
        <v>0</v>
      </c>
      <c r="I68" s="16">
        <v>0</v>
      </c>
      <c r="J68" s="16">
        <v>0</v>
      </c>
      <c r="K68" s="16">
        <v>432276113</v>
      </c>
      <c r="L68" s="149"/>
      <c r="M68" s="122"/>
      <c r="N68" s="122"/>
    </row>
    <row r="69" spans="2:14" ht="12.75" customHeight="1" x14ac:dyDescent="0.25">
      <c r="B69" s="11">
        <v>1716</v>
      </c>
      <c r="C69" s="11" t="s">
        <v>74</v>
      </c>
      <c r="D69" s="16">
        <v>241679564.81</v>
      </c>
      <c r="E69" s="16">
        <v>188000000</v>
      </c>
      <c r="F69" s="16">
        <v>198075910</v>
      </c>
      <c r="G69" s="16">
        <f t="shared" si="10"/>
        <v>5261635</v>
      </c>
      <c r="H69" s="16">
        <v>0</v>
      </c>
      <c r="I69" s="16">
        <v>0</v>
      </c>
      <c r="J69" s="16">
        <v>0</v>
      </c>
      <c r="K69" s="16">
        <v>203337545</v>
      </c>
      <c r="L69" s="149"/>
      <c r="M69" s="122"/>
      <c r="N69" s="122"/>
    </row>
    <row r="70" spans="2:14" ht="12.75" customHeight="1" x14ac:dyDescent="0.25">
      <c r="B70" s="11">
        <v>1721</v>
      </c>
      <c r="C70" s="11" t="s">
        <v>73</v>
      </c>
      <c r="D70" s="16">
        <v>489786709.43000001</v>
      </c>
      <c r="E70" s="16">
        <v>499000000</v>
      </c>
      <c r="F70" s="16">
        <v>506129482</v>
      </c>
      <c r="G70" s="16">
        <f t="shared" si="10"/>
        <v>13444685</v>
      </c>
      <c r="H70" s="16">
        <v>0</v>
      </c>
      <c r="I70" s="16">
        <v>0</v>
      </c>
      <c r="J70" s="16">
        <v>0</v>
      </c>
      <c r="K70" s="16">
        <v>519574167</v>
      </c>
      <c r="L70" s="149"/>
      <c r="M70" s="122"/>
      <c r="N70" s="122"/>
    </row>
    <row r="71" spans="2:14" ht="12.75" customHeight="1" x14ac:dyDescent="0.25">
      <c r="B71" s="11">
        <v>1723</v>
      </c>
      <c r="C71" s="11" t="s">
        <v>72</v>
      </c>
      <c r="D71" s="16">
        <v>2536.1</v>
      </c>
      <c r="E71" s="16">
        <v>0</v>
      </c>
      <c r="F71" s="16">
        <v>0</v>
      </c>
      <c r="G71" s="16">
        <f t="shared" si="10"/>
        <v>0</v>
      </c>
      <c r="H71" s="16">
        <v>0</v>
      </c>
      <c r="I71" s="16">
        <v>0</v>
      </c>
      <c r="J71" s="16">
        <v>0</v>
      </c>
      <c r="K71" s="16">
        <v>0</v>
      </c>
      <c r="L71" s="149"/>
      <c r="M71" s="122"/>
      <c r="N71" s="122"/>
    </row>
    <row r="72" spans="2:14" ht="12.75" customHeight="1" x14ac:dyDescent="0.25">
      <c r="B72" s="11">
        <v>1726</v>
      </c>
      <c r="C72" s="11" t="s">
        <v>71</v>
      </c>
      <c r="D72" s="16">
        <v>741722328.08000004</v>
      </c>
      <c r="E72" s="16">
        <v>607000000</v>
      </c>
      <c r="F72" s="16">
        <v>766473596</v>
      </c>
      <c r="G72" s="16">
        <f t="shared" si="10"/>
        <v>19874219</v>
      </c>
      <c r="H72" s="125">
        <v>300000000</v>
      </c>
      <c r="I72" s="16">
        <f>'MN au présent PLF'!F16</f>
        <v>300000000</v>
      </c>
      <c r="J72" s="16">
        <v>0</v>
      </c>
      <c r="K72" s="16">
        <v>1386347815</v>
      </c>
      <c r="L72" s="149"/>
      <c r="M72" s="122"/>
      <c r="N72" s="122"/>
    </row>
    <row r="73" spans="2:14" ht="12.75" customHeight="1" x14ac:dyDescent="0.25">
      <c r="B73" s="11">
        <v>1752</v>
      </c>
      <c r="C73" s="11" t="s">
        <v>187</v>
      </c>
      <c r="D73" s="16">
        <v>625870198</v>
      </c>
      <c r="E73" s="16">
        <v>1120000000</v>
      </c>
      <c r="F73" s="16">
        <v>1153733333</v>
      </c>
      <c r="G73" s="16">
        <f t="shared" ref="G73" si="13">K73-F73-H73-I73-J73</f>
        <v>0.33332991600036621</v>
      </c>
      <c r="H73" s="125">
        <v>-1113733333.3333299</v>
      </c>
      <c r="I73" s="16">
        <v>0</v>
      </c>
      <c r="J73" s="16">
        <v>0</v>
      </c>
      <c r="K73" s="16">
        <v>40000000</v>
      </c>
      <c r="L73" s="149"/>
      <c r="M73" s="122"/>
      <c r="N73" s="122"/>
    </row>
    <row r="74" spans="2:14" ht="12.75" customHeight="1" x14ac:dyDescent="0.25">
      <c r="B74" s="11">
        <v>1753</v>
      </c>
      <c r="C74" s="11" t="s">
        <v>70</v>
      </c>
      <c r="D74" s="16">
        <v>2415519853.23</v>
      </c>
      <c r="E74" s="16">
        <v>2059071000</v>
      </c>
      <c r="F74" s="16">
        <v>4314799527</v>
      </c>
      <c r="G74" s="16">
        <f t="shared" si="10"/>
        <v>98250558.647061348</v>
      </c>
      <c r="H74" s="125">
        <v>5000705882.3529387</v>
      </c>
      <c r="I74" s="16">
        <f>'MN au présent PLF'!F17+'MN au présent PLF'!F18</f>
        <v>1200000000</v>
      </c>
      <c r="J74" s="16">
        <f>'MP et MT'!H14</f>
        <v>-2800000000</v>
      </c>
      <c r="K74" s="16">
        <v>7813755968</v>
      </c>
      <c r="L74" s="149"/>
      <c r="M74" s="122"/>
      <c r="N74" s="122"/>
    </row>
    <row r="75" spans="2:14" ht="12.75" customHeight="1" x14ac:dyDescent="0.25">
      <c r="B75" s="11">
        <v>1754</v>
      </c>
      <c r="C75" s="11" t="s">
        <v>69</v>
      </c>
      <c r="D75" s="16">
        <v>4461343.49</v>
      </c>
      <c r="E75" s="16">
        <v>5000000</v>
      </c>
      <c r="F75" s="16">
        <v>4511919</v>
      </c>
      <c r="G75" s="16">
        <f t="shared" si="10"/>
        <v>51495</v>
      </c>
      <c r="H75" s="16">
        <v>0</v>
      </c>
      <c r="I75" s="16">
        <v>0</v>
      </c>
      <c r="J75" s="16">
        <v>0</v>
      </c>
      <c r="K75" s="16">
        <v>4563414</v>
      </c>
      <c r="L75" s="149"/>
      <c r="M75" s="122"/>
      <c r="N75" s="122"/>
    </row>
    <row r="76" spans="2:14" ht="12.75" customHeight="1" x14ac:dyDescent="0.25">
      <c r="B76" s="11">
        <v>1755</v>
      </c>
      <c r="C76" s="11" t="s">
        <v>68</v>
      </c>
      <c r="D76" s="16">
        <v>41540620.359999999</v>
      </c>
      <c r="E76" s="16">
        <v>48000000</v>
      </c>
      <c r="F76" s="16">
        <v>42011538</v>
      </c>
      <c r="G76" s="16">
        <f t="shared" si="10"/>
        <v>479481</v>
      </c>
      <c r="H76" s="16">
        <v>0</v>
      </c>
      <c r="I76" s="16">
        <v>0</v>
      </c>
      <c r="J76" s="16">
        <v>0</v>
      </c>
      <c r="K76" s="16">
        <v>42491019</v>
      </c>
      <c r="L76" s="149"/>
      <c r="M76" s="122"/>
      <c r="N76" s="122"/>
    </row>
    <row r="77" spans="2:14" ht="12.75" customHeight="1" x14ac:dyDescent="0.25">
      <c r="B77" s="11">
        <v>1756</v>
      </c>
      <c r="C77" s="11" t="s">
        <v>67</v>
      </c>
      <c r="D77" s="16">
        <v>1625424271.8599999</v>
      </c>
      <c r="E77" s="16">
        <v>1318000000</v>
      </c>
      <c r="F77" s="16">
        <v>1243000000</v>
      </c>
      <c r="G77" s="16">
        <f t="shared" si="10"/>
        <v>44000000</v>
      </c>
      <c r="H77" s="16">
        <v>7000000</v>
      </c>
      <c r="I77" s="16">
        <v>0</v>
      </c>
      <c r="J77" s="16">
        <v>0</v>
      </c>
      <c r="K77" s="16">
        <v>1294000000</v>
      </c>
      <c r="L77" s="149"/>
      <c r="M77" s="122"/>
      <c r="N77" s="122"/>
    </row>
    <row r="78" spans="2:14" ht="12.75" customHeight="1" x14ac:dyDescent="0.25">
      <c r="B78" s="11">
        <v>1761</v>
      </c>
      <c r="C78" s="11" t="s">
        <v>66</v>
      </c>
      <c r="D78" s="16">
        <v>70594122.120000005</v>
      </c>
      <c r="E78" s="16">
        <v>67000000</v>
      </c>
      <c r="F78" s="16">
        <v>67000000</v>
      </c>
      <c r="G78" s="16">
        <f t="shared" si="10"/>
        <v>0</v>
      </c>
      <c r="H78" s="16">
        <v>0</v>
      </c>
      <c r="I78" s="16">
        <v>0</v>
      </c>
      <c r="J78" s="16">
        <v>0</v>
      </c>
      <c r="K78" s="16">
        <v>67000000</v>
      </c>
      <c r="L78" s="149"/>
      <c r="M78" s="122"/>
      <c r="N78" s="122"/>
    </row>
    <row r="79" spans="2:14" ht="12.75" customHeight="1" x14ac:dyDescent="0.25">
      <c r="B79" s="11">
        <v>1768</v>
      </c>
      <c r="C79" s="11" t="s">
        <v>65</v>
      </c>
      <c r="D79" s="16">
        <v>169601131.24000001</v>
      </c>
      <c r="E79" s="16">
        <v>176201739</v>
      </c>
      <c r="F79" s="16">
        <v>175260720</v>
      </c>
      <c r="G79" s="16">
        <f t="shared" si="10"/>
        <v>4655578</v>
      </c>
      <c r="H79" s="16">
        <v>0</v>
      </c>
      <c r="I79" s="16">
        <v>0</v>
      </c>
      <c r="J79" s="16">
        <v>0</v>
      </c>
      <c r="K79" s="16">
        <v>179916298</v>
      </c>
      <c r="L79" s="149"/>
      <c r="M79" s="122"/>
      <c r="N79" s="122"/>
    </row>
    <row r="80" spans="2:14" ht="12.75" customHeight="1" x14ac:dyDescent="0.25">
      <c r="B80" s="11">
        <v>1769</v>
      </c>
      <c r="C80" s="11" t="s">
        <v>64</v>
      </c>
      <c r="D80" s="16">
        <v>117846375.12</v>
      </c>
      <c r="E80" s="16">
        <v>136845931</v>
      </c>
      <c r="F80" s="16">
        <v>117846375</v>
      </c>
      <c r="G80" s="16">
        <f t="shared" si="10"/>
        <v>0</v>
      </c>
      <c r="H80" s="16">
        <v>0</v>
      </c>
      <c r="I80" s="16">
        <v>0</v>
      </c>
      <c r="J80" s="16">
        <v>0</v>
      </c>
      <c r="K80" s="16">
        <v>117846375</v>
      </c>
      <c r="L80" s="149"/>
      <c r="M80" s="122"/>
      <c r="N80" s="122"/>
    </row>
    <row r="81" spans="2:14" ht="12.75" customHeight="1" x14ac:dyDescent="0.25">
      <c r="B81" s="11">
        <v>1773</v>
      </c>
      <c r="C81" s="11" t="s">
        <v>63</v>
      </c>
      <c r="D81" s="16">
        <v>42</v>
      </c>
      <c r="E81" s="16">
        <v>0</v>
      </c>
      <c r="F81" s="16">
        <v>0</v>
      </c>
      <c r="G81" s="16">
        <f t="shared" si="10"/>
        <v>0</v>
      </c>
      <c r="H81" s="16">
        <v>0</v>
      </c>
      <c r="I81" s="16">
        <v>0</v>
      </c>
      <c r="J81" s="16">
        <v>0</v>
      </c>
      <c r="K81" s="16">
        <v>0</v>
      </c>
      <c r="L81" s="149"/>
      <c r="M81" s="122"/>
      <c r="N81" s="122"/>
    </row>
    <row r="82" spans="2:14" ht="12.75" customHeight="1" x14ac:dyDescent="0.25">
      <c r="B82" s="11">
        <v>1774</v>
      </c>
      <c r="C82" s="11" t="s">
        <v>62</v>
      </c>
      <c r="D82" s="16">
        <v>1705</v>
      </c>
      <c r="E82" s="16">
        <v>0</v>
      </c>
      <c r="F82" s="16">
        <v>0</v>
      </c>
      <c r="G82" s="16">
        <f t="shared" si="10"/>
        <v>0</v>
      </c>
      <c r="H82" s="16">
        <v>0</v>
      </c>
      <c r="I82" s="16">
        <v>0</v>
      </c>
      <c r="J82" s="16">
        <v>0</v>
      </c>
      <c r="K82" s="16">
        <v>0</v>
      </c>
      <c r="L82" s="149"/>
      <c r="M82" s="122"/>
      <c r="N82" s="122"/>
    </row>
    <row r="83" spans="2:14" ht="12.75" customHeight="1" x14ac:dyDescent="0.25">
      <c r="B83" s="11">
        <v>1776</v>
      </c>
      <c r="C83" s="11" t="s">
        <v>61</v>
      </c>
      <c r="D83" s="16">
        <v>47690051.770000003</v>
      </c>
      <c r="E83" s="16">
        <v>55000000</v>
      </c>
      <c r="F83" s="16">
        <v>49281468</v>
      </c>
      <c r="G83" s="16">
        <f t="shared" si="10"/>
        <v>1309100</v>
      </c>
      <c r="H83" s="16">
        <v>0</v>
      </c>
      <c r="I83" s="16">
        <v>0</v>
      </c>
      <c r="J83" s="16">
        <v>0</v>
      </c>
      <c r="K83" s="16">
        <v>50590568</v>
      </c>
      <c r="L83" s="149"/>
      <c r="M83" s="122"/>
      <c r="N83" s="122"/>
    </row>
    <row r="84" spans="2:14" ht="12.75" customHeight="1" x14ac:dyDescent="0.25">
      <c r="B84" s="11">
        <v>1777</v>
      </c>
      <c r="C84" s="11" t="s">
        <v>60</v>
      </c>
      <c r="D84" s="16">
        <v>17912746</v>
      </c>
      <c r="E84" s="16">
        <v>17000000</v>
      </c>
      <c r="F84" s="16">
        <v>17912746</v>
      </c>
      <c r="G84" s="16">
        <f t="shared" si="10"/>
        <v>0</v>
      </c>
      <c r="H84" s="16">
        <v>0</v>
      </c>
      <c r="I84" s="16">
        <v>0</v>
      </c>
      <c r="J84" s="16">
        <v>0</v>
      </c>
      <c r="K84" s="16">
        <v>17912746</v>
      </c>
      <c r="L84" s="149"/>
      <c r="M84" s="122"/>
      <c r="N84" s="122"/>
    </row>
    <row r="85" spans="2:14" ht="12.75" customHeight="1" x14ac:dyDescent="0.25">
      <c r="B85" s="11">
        <v>1780</v>
      </c>
      <c r="C85" s="11" t="s">
        <v>59</v>
      </c>
      <c r="D85" s="16">
        <v>1170.5</v>
      </c>
      <c r="E85" s="16">
        <v>0</v>
      </c>
      <c r="F85" s="16">
        <v>0</v>
      </c>
      <c r="G85" s="16">
        <f t="shared" si="10"/>
        <v>0</v>
      </c>
      <c r="H85" s="16">
        <v>0</v>
      </c>
      <c r="I85" s="16">
        <v>0</v>
      </c>
      <c r="J85" s="16">
        <v>0</v>
      </c>
      <c r="K85" s="16">
        <v>0</v>
      </c>
      <c r="L85" s="149"/>
      <c r="M85" s="122"/>
      <c r="N85" s="122"/>
    </row>
    <row r="86" spans="2:14" ht="12.75" customHeight="1" x14ac:dyDescent="0.25">
      <c r="B86" s="11">
        <v>1781</v>
      </c>
      <c r="C86" s="11" t="s">
        <v>58</v>
      </c>
      <c r="D86" s="16">
        <v>559619337</v>
      </c>
      <c r="E86" s="16">
        <v>560000000</v>
      </c>
      <c r="F86" s="16">
        <v>559619337</v>
      </c>
      <c r="G86" s="16">
        <f t="shared" si="10"/>
        <v>0</v>
      </c>
      <c r="H86" s="16">
        <v>0</v>
      </c>
      <c r="I86" s="16">
        <v>0</v>
      </c>
      <c r="J86" s="16">
        <v>0</v>
      </c>
      <c r="K86" s="16">
        <v>559619337</v>
      </c>
      <c r="L86" s="149"/>
      <c r="M86" s="122"/>
      <c r="N86" s="122"/>
    </row>
    <row r="87" spans="2:14" ht="12.75" customHeight="1" x14ac:dyDescent="0.25">
      <c r="B87" s="11">
        <v>1782</v>
      </c>
      <c r="C87" s="11" t="s">
        <v>57</v>
      </c>
      <c r="D87" s="16">
        <v>23928423.039999999</v>
      </c>
      <c r="E87" s="16">
        <v>28000000</v>
      </c>
      <c r="F87" s="16">
        <v>24724410</v>
      </c>
      <c r="G87" s="16">
        <f t="shared" si="10"/>
        <v>656773</v>
      </c>
      <c r="H87" s="16">
        <v>0</v>
      </c>
      <c r="I87" s="16">
        <v>0</v>
      </c>
      <c r="J87" s="16">
        <v>0</v>
      </c>
      <c r="K87" s="16">
        <v>25381183</v>
      </c>
      <c r="L87" s="149"/>
      <c r="M87" s="122"/>
      <c r="N87" s="122"/>
    </row>
    <row r="88" spans="2:14" ht="12.75" customHeight="1" x14ac:dyDescent="0.25">
      <c r="B88" s="11">
        <v>1785</v>
      </c>
      <c r="C88" s="11" t="s">
        <v>56</v>
      </c>
      <c r="D88" s="16">
        <v>2742893074.1900001</v>
      </c>
      <c r="E88" s="16">
        <v>2944264366</v>
      </c>
      <c r="F88" s="16">
        <v>2852608797</v>
      </c>
      <c r="G88" s="16">
        <f t="shared" si="10"/>
        <v>114104352</v>
      </c>
      <c r="H88" s="16">
        <v>0</v>
      </c>
      <c r="I88" s="16">
        <v>0</v>
      </c>
      <c r="J88" s="16">
        <v>0</v>
      </c>
      <c r="K88" s="16">
        <v>2966713149</v>
      </c>
      <c r="L88" s="149"/>
      <c r="M88" s="122"/>
      <c r="N88" s="122"/>
    </row>
    <row r="89" spans="2:14" ht="12.75" customHeight="1" x14ac:dyDescent="0.25">
      <c r="B89" s="11">
        <v>1786</v>
      </c>
      <c r="C89" s="11" t="s">
        <v>55</v>
      </c>
      <c r="D89" s="16">
        <v>926974606.54999995</v>
      </c>
      <c r="E89" s="16">
        <v>1039557176</v>
      </c>
      <c r="F89" s="16">
        <v>936244353</v>
      </c>
      <c r="G89" s="16">
        <f t="shared" si="10"/>
        <v>37449774</v>
      </c>
      <c r="H89" s="16">
        <v>0</v>
      </c>
      <c r="I89" s="16">
        <v>0</v>
      </c>
      <c r="J89" s="16">
        <v>0</v>
      </c>
      <c r="K89" s="16">
        <v>973694127</v>
      </c>
      <c r="L89" s="149"/>
      <c r="M89" s="122"/>
      <c r="N89" s="122"/>
    </row>
    <row r="90" spans="2:14" ht="12.75" customHeight="1" x14ac:dyDescent="0.25">
      <c r="B90" s="11">
        <v>1787</v>
      </c>
      <c r="C90" s="11" t="s">
        <v>54</v>
      </c>
      <c r="D90" s="16">
        <v>409790671.66000003</v>
      </c>
      <c r="E90" s="16">
        <v>420768064</v>
      </c>
      <c r="F90" s="16">
        <v>402004649</v>
      </c>
      <c r="G90" s="16">
        <f t="shared" si="10"/>
        <v>0</v>
      </c>
      <c r="H90" s="16">
        <v>0</v>
      </c>
      <c r="I90" s="16">
        <v>0</v>
      </c>
      <c r="J90" s="16">
        <v>0</v>
      </c>
      <c r="K90" s="16">
        <v>402004649</v>
      </c>
      <c r="L90" s="149"/>
      <c r="M90" s="122"/>
      <c r="N90" s="122"/>
    </row>
    <row r="91" spans="2:14" ht="12.75" customHeight="1" x14ac:dyDescent="0.25">
      <c r="B91" s="11">
        <v>1788</v>
      </c>
      <c r="C91" s="11" t="s">
        <v>53</v>
      </c>
      <c r="D91" s="16">
        <v>845561137.84000003</v>
      </c>
      <c r="E91" s="16">
        <v>817767917</v>
      </c>
      <c r="F91" s="16">
        <v>904750417</v>
      </c>
      <c r="G91" s="16">
        <f t="shared" si="10"/>
        <v>49761273</v>
      </c>
      <c r="H91" s="16">
        <v>0</v>
      </c>
      <c r="I91" s="16">
        <v>0</v>
      </c>
      <c r="J91" s="16">
        <v>0</v>
      </c>
      <c r="K91" s="16">
        <v>954511690</v>
      </c>
      <c r="L91" s="149"/>
      <c r="M91" s="122"/>
      <c r="N91" s="122"/>
    </row>
    <row r="92" spans="2:14" ht="12.75" customHeight="1" x14ac:dyDescent="0.25">
      <c r="B92" s="11">
        <v>1789</v>
      </c>
      <c r="C92" s="11" t="s">
        <v>52</v>
      </c>
      <c r="D92" s="16">
        <v>120840264.5</v>
      </c>
      <c r="E92" s="16">
        <v>125596468</v>
      </c>
      <c r="F92" s="16">
        <v>123257070</v>
      </c>
      <c r="G92" s="16">
        <f t="shared" si="10"/>
        <v>2465141</v>
      </c>
      <c r="H92" s="16">
        <v>0</v>
      </c>
      <c r="I92" s="16">
        <v>0</v>
      </c>
      <c r="J92" s="16">
        <v>0</v>
      </c>
      <c r="K92" s="16">
        <v>125722211</v>
      </c>
      <c r="L92" s="149"/>
      <c r="M92" s="122"/>
      <c r="N92" s="122"/>
    </row>
    <row r="93" spans="2:14" ht="12.75" customHeight="1" x14ac:dyDescent="0.25">
      <c r="B93" s="11">
        <v>1790</v>
      </c>
      <c r="C93" s="11" t="s">
        <v>51</v>
      </c>
      <c r="D93" s="16">
        <v>0</v>
      </c>
      <c r="E93" s="16">
        <v>0</v>
      </c>
      <c r="F93" s="16">
        <v>0</v>
      </c>
      <c r="G93" s="16">
        <f t="shared" si="10"/>
        <v>0</v>
      </c>
      <c r="H93" s="16">
        <v>0</v>
      </c>
      <c r="I93" s="16">
        <v>0</v>
      </c>
      <c r="J93" s="16">
        <v>0</v>
      </c>
      <c r="K93" s="16">
        <v>0</v>
      </c>
      <c r="L93" s="149"/>
      <c r="M93" s="122"/>
      <c r="N93" s="122"/>
    </row>
    <row r="94" spans="2:14" ht="12.75" customHeight="1" x14ac:dyDescent="0.25">
      <c r="B94" s="11">
        <v>1796</v>
      </c>
      <c r="C94" s="11" t="s">
        <v>339</v>
      </c>
      <c r="D94" s="16">
        <v>0</v>
      </c>
      <c r="E94" s="16">
        <v>0</v>
      </c>
      <c r="F94" s="16">
        <v>0</v>
      </c>
      <c r="G94" s="16">
        <f t="shared" si="10"/>
        <v>0</v>
      </c>
      <c r="H94" s="16">
        <v>0</v>
      </c>
      <c r="I94" s="16">
        <v>200000000</v>
      </c>
      <c r="J94" s="16">
        <v>0</v>
      </c>
      <c r="K94" s="16">
        <v>200000000</v>
      </c>
      <c r="L94" s="149"/>
      <c r="M94" s="122"/>
      <c r="N94" s="122"/>
    </row>
    <row r="95" spans="2:14" ht="12.75" customHeight="1" x14ac:dyDescent="0.25">
      <c r="B95" s="11">
        <v>1797</v>
      </c>
      <c r="C95" s="11" t="s">
        <v>50</v>
      </c>
      <c r="D95" s="16">
        <v>1077483129.6099999</v>
      </c>
      <c r="E95" s="16">
        <v>1200000000</v>
      </c>
      <c r="F95" s="16">
        <v>1241000000</v>
      </c>
      <c r="G95" s="16">
        <f t="shared" si="10"/>
        <v>99000000</v>
      </c>
      <c r="H95" s="16">
        <v>0</v>
      </c>
      <c r="I95" s="16">
        <v>0</v>
      </c>
      <c r="J95" s="16">
        <v>528000000</v>
      </c>
      <c r="K95" s="16">
        <v>1868000000</v>
      </c>
      <c r="L95" s="149"/>
      <c r="M95" s="122"/>
      <c r="N95" s="122"/>
    </row>
    <row r="96" spans="2:14" ht="12.75" customHeight="1" x14ac:dyDescent="0.25">
      <c r="B96" s="11">
        <v>1798</v>
      </c>
      <c r="C96" s="11" t="s">
        <v>49</v>
      </c>
      <c r="D96" s="16">
        <v>2965310</v>
      </c>
      <c r="E96" s="16">
        <v>0</v>
      </c>
      <c r="F96" s="16">
        <v>0</v>
      </c>
      <c r="G96" s="16">
        <f t="shared" si="10"/>
        <v>0</v>
      </c>
      <c r="H96" s="16">
        <v>0</v>
      </c>
      <c r="I96" s="16">
        <v>0</v>
      </c>
      <c r="J96" s="16">
        <v>0</v>
      </c>
      <c r="K96" s="16">
        <v>0</v>
      </c>
      <c r="L96" s="149"/>
      <c r="M96" s="122"/>
      <c r="N96" s="122"/>
    </row>
    <row r="97" spans="2:14" ht="12.75" customHeight="1" x14ac:dyDescent="0.25">
      <c r="B97" s="11">
        <v>1799</v>
      </c>
      <c r="C97" s="11" t="s">
        <v>48</v>
      </c>
      <c r="D97" s="16">
        <v>932935637.07000005</v>
      </c>
      <c r="E97" s="16">
        <v>3258000000</v>
      </c>
      <c r="F97" s="16">
        <v>1015000000</v>
      </c>
      <c r="G97" s="16">
        <f>K97-F97-H97-I97-J97</f>
        <v>46000000</v>
      </c>
      <c r="H97" s="125">
        <v>150000000</v>
      </c>
      <c r="I97" s="16">
        <v>0</v>
      </c>
      <c r="J97" s="16">
        <f>'MP et MT'!H16+'MP et MT'!H17</f>
        <v>3195000000</v>
      </c>
      <c r="K97" s="16">
        <v>4406000000</v>
      </c>
      <c r="L97" s="149"/>
      <c r="M97" s="122"/>
      <c r="N97" s="122"/>
    </row>
    <row r="98" spans="2:14" ht="12.75" customHeight="1" x14ac:dyDescent="0.25">
      <c r="B98" s="11" t="s">
        <v>43</v>
      </c>
      <c r="C98" s="11" t="s">
        <v>42</v>
      </c>
      <c r="D98" s="16">
        <v>116458</v>
      </c>
      <c r="E98" s="16">
        <v>390000</v>
      </c>
      <c r="F98" s="16">
        <v>116458</v>
      </c>
      <c r="G98" s="16">
        <f t="shared" si="10"/>
        <v>0</v>
      </c>
      <c r="H98" s="16">
        <v>0</v>
      </c>
      <c r="I98" s="16">
        <v>0</v>
      </c>
      <c r="J98" s="16">
        <v>0</v>
      </c>
      <c r="K98" s="16">
        <v>116458</v>
      </c>
      <c r="L98" s="149"/>
      <c r="M98" s="122"/>
      <c r="N98" s="122"/>
    </row>
    <row r="99" spans="2:14" ht="12.75" customHeight="1" x14ac:dyDescent="0.25">
      <c r="B99" s="11" t="s">
        <v>41</v>
      </c>
      <c r="C99" s="11" t="s">
        <v>40</v>
      </c>
      <c r="D99" s="16">
        <v>393713771</v>
      </c>
      <c r="E99" s="16">
        <v>200000000</v>
      </c>
      <c r="F99" s="16">
        <v>635800000</v>
      </c>
      <c r="G99" s="16">
        <f t="shared" si="10"/>
        <v>-112800000</v>
      </c>
      <c r="H99" s="16">
        <v>0</v>
      </c>
      <c r="I99" s="16">
        <v>0</v>
      </c>
      <c r="J99" s="16">
        <v>0</v>
      </c>
      <c r="K99" s="16">
        <v>523000000</v>
      </c>
      <c r="L99" s="149"/>
      <c r="M99" s="122"/>
      <c r="N99" s="122"/>
    </row>
    <row r="100" spans="2:14" ht="12.75" customHeight="1" x14ac:dyDescent="0.25">
      <c r="B100" s="11" t="s">
        <v>37</v>
      </c>
      <c r="C100" s="11" t="s">
        <v>36</v>
      </c>
      <c r="D100" s="16">
        <v>488834398</v>
      </c>
      <c r="E100" s="16">
        <v>500000000</v>
      </c>
      <c r="F100" s="16">
        <v>500000000</v>
      </c>
      <c r="G100" s="16">
        <f t="shared" si="10"/>
        <v>0</v>
      </c>
      <c r="H100" s="16">
        <v>0</v>
      </c>
      <c r="I100" s="16">
        <v>0</v>
      </c>
      <c r="J100" s="16">
        <v>0</v>
      </c>
      <c r="K100" s="16">
        <v>500000000</v>
      </c>
      <c r="L100" s="149"/>
      <c r="M100" s="122"/>
      <c r="N100" s="122"/>
    </row>
    <row r="101" spans="2:14" ht="12.75" customHeight="1" x14ac:dyDescent="0.25">
      <c r="B101" s="11" t="s">
        <v>28</v>
      </c>
      <c r="C101" s="11" t="s">
        <v>152</v>
      </c>
      <c r="D101" s="16">
        <v>35302014.630000003</v>
      </c>
      <c r="E101" s="16">
        <v>15000000</v>
      </c>
      <c r="F101" s="16">
        <v>35302015</v>
      </c>
      <c r="G101" s="16">
        <f t="shared" si="10"/>
        <v>0</v>
      </c>
      <c r="H101" s="16">
        <v>0</v>
      </c>
      <c r="I101" s="16">
        <v>0</v>
      </c>
      <c r="J101" s="16">
        <v>0</v>
      </c>
      <c r="K101" s="16">
        <v>35302015</v>
      </c>
      <c r="L101" s="149"/>
      <c r="M101" s="122"/>
      <c r="N101" s="122"/>
    </row>
    <row r="102" spans="2:14" ht="12.75" customHeight="1" x14ac:dyDescent="0.25">
      <c r="B102" s="11" t="s">
        <v>27</v>
      </c>
      <c r="C102" s="11" t="s">
        <v>153</v>
      </c>
      <c r="D102" s="16">
        <v>0.1</v>
      </c>
      <c r="E102" s="16">
        <v>0</v>
      </c>
      <c r="F102" s="16">
        <v>0</v>
      </c>
      <c r="G102" s="16">
        <f t="shared" ref="G102:G108" si="14">K102-F102-H102-I102-J102</f>
        <v>0</v>
      </c>
      <c r="H102" s="16">
        <v>0</v>
      </c>
      <c r="I102" s="16">
        <v>0</v>
      </c>
      <c r="J102" s="16">
        <v>0</v>
      </c>
      <c r="K102" s="16">
        <v>0</v>
      </c>
      <c r="L102" s="149"/>
      <c r="M102" s="122"/>
      <c r="N102" s="122"/>
    </row>
    <row r="103" spans="2:14" ht="12.75" customHeight="1" x14ac:dyDescent="0.25">
      <c r="B103" s="11" t="s">
        <v>24</v>
      </c>
      <c r="C103" s="11" t="s">
        <v>154</v>
      </c>
      <c r="D103" s="16">
        <v>474035730.37</v>
      </c>
      <c r="E103" s="16">
        <v>100000000</v>
      </c>
      <c r="F103" s="16">
        <v>100000000</v>
      </c>
      <c r="G103" s="16">
        <f t="shared" si="14"/>
        <v>50000000</v>
      </c>
      <c r="H103" s="16">
        <v>0</v>
      </c>
      <c r="I103" s="16">
        <v>0</v>
      </c>
      <c r="J103" s="16">
        <v>0</v>
      </c>
      <c r="K103" s="16">
        <v>150000000</v>
      </c>
      <c r="L103" s="149"/>
      <c r="M103" s="122"/>
      <c r="N103" s="122"/>
    </row>
    <row r="104" spans="2:14" ht="12.75" customHeight="1" x14ac:dyDescent="0.25">
      <c r="B104" s="11" t="s">
        <v>15</v>
      </c>
      <c r="C104" s="11" t="s">
        <v>14</v>
      </c>
      <c r="D104" s="16">
        <v>2135180304.3800001</v>
      </c>
      <c r="E104" s="16">
        <v>2982719649</v>
      </c>
      <c r="F104" s="16">
        <v>3569000000</v>
      </c>
      <c r="G104" s="16">
        <f t="shared" si="14"/>
        <v>-662400000</v>
      </c>
      <c r="H104" s="16">
        <v>-889000000</v>
      </c>
      <c r="I104" s="16">
        <v>0</v>
      </c>
      <c r="J104" s="16">
        <v>0</v>
      </c>
      <c r="K104" s="16">
        <v>2017600000</v>
      </c>
      <c r="L104" s="149"/>
      <c r="M104" s="122"/>
      <c r="N104" s="122"/>
    </row>
    <row r="105" spans="2:14" ht="12.75" customHeight="1" x14ac:dyDescent="0.25">
      <c r="B105" s="11" t="s">
        <v>10</v>
      </c>
      <c r="C105" s="11" t="s">
        <v>9</v>
      </c>
      <c r="D105" s="16">
        <v>654031941.13</v>
      </c>
      <c r="E105" s="16">
        <v>680000000</v>
      </c>
      <c r="F105" s="16">
        <v>700000000</v>
      </c>
      <c r="G105" s="16">
        <f t="shared" si="14"/>
        <v>0</v>
      </c>
      <c r="H105" s="16">
        <v>0</v>
      </c>
      <c r="I105" s="16">
        <v>0</v>
      </c>
      <c r="J105" s="16">
        <v>0</v>
      </c>
      <c r="K105" s="16">
        <v>700000000</v>
      </c>
      <c r="L105" s="149"/>
      <c r="M105" s="122"/>
      <c r="N105" s="122"/>
    </row>
    <row r="106" spans="2:14" ht="12.75" customHeight="1" x14ac:dyDescent="0.25">
      <c r="B106" s="11" t="s">
        <v>8</v>
      </c>
      <c r="C106" s="11" t="s">
        <v>7</v>
      </c>
      <c r="D106" s="16">
        <v>1387527844.01</v>
      </c>
      <c r="E106" s="16">
        <v>715757000</v>
      </c>
      <c r="F106" s="16">
        <v>1184000000</v>
      </c>
      <c r="G106" s="16">
        <f t="shared" si="14"/>
        <v>-284000000</v>
      </c>
      <c r="H106" s="16">
        <v>0</v>
      </c>
      <c r="I106" s="16">
        <v>0</v>
      </c>
      <c r="J106" s="16">
        <v>0</v>
      </c>
      <c r="K106" s="16">
        <v>900000000</v>
      </c>
      <c r="L106" s="149"/>
      <c r="M106" s="122"/>
      <c r="N106" s="122"/>
    </row>
    <row r="107" spans="2:14" ht="12.75" customHeight="1" x14ac:dyDescent="0.25">
      <c r="B107" s="11" t="s">
        <v>6</v>
      </c>
      <c r="C107" s="11" t="s">
        <v>5</v>
      </c>
      <c r="D107" s="16">
        <v>2249404237.1300001</v>
      </c>
      <c r="E107" s="16">
        <v>1968042369</v>
      </c>
      <c r="F107" s="16">
        <v>2994599724</v>
      </c>
      <c r="G107" s="16">
        <f>K107-F107-H107-I107-J107</f>
        <v>-724000000</v>
      </c>
      <c r="H107" s="16">
        <v>0</v>
      </c>
      <c r="I107" s="16">
        <v>0</v>
      </c>
      <c r="J107" s="16">
        <v>0</v>
      </c>
      <c r="K107" s="16">
        <v>2270599724</v>
      </c>
      <c r="L107" s="149"/>
      <c r="M107" s="122"/>
      <c r="N107" s="122"/>
    </row>
    <row r="108" spans="2:14" ht="12.75" customHeight="1" x14ac:dyDescent="0.25">
      <c r="B108" s="9" t="s">
        <v>4</v>
      </c>
      <c r="C108" s="9" t="s">
        <v>156</v>
      </c>
      <c r="D108" s="19">
        <v>607008534.22000003</v>
      </c>
      <c r="E108" s="19">
        <v>630000000</v>
      </c>
      <c r="F108" s="19">
        <v>457000000</v>
      </c>
      <c r="G108" s="19">
        <f t="shared" si="14"/>
        <v>-6600000</v>
      </c>
      <c r="H108" s="19">
        <v>37000000</v>
      </c>
      <c r="I108" s="19">
        <v>0</v>
      </c>
      <c r="J108" s="19">
        <v>0</v>
      </c>
      <c r="K108" s="19">
        <v>487400000</v>
      </c>
      <c r="L108" s="149"/>
      <c r="M108" s="122"/>
      <c r="N108" s="122"/>
    </row>
    <row r="109" spans="2:14" ht="12.75" customHeight="1" x14ac:dyDescent="0.25">
      <c r="B109" s="45" t="s">
        <v>255</v>
      </c>
    </row>
    <row r="110" spans="2:14" ht="12.75" customHeight="1" x14ac:dyDescent="0.25"/>
  </sheetData>
  <mergeCells count="6">
    <mergeCell ref="K4:K5"/>
    <mergeCell ref="B4:B5"/>
    <mergeCell ref="C4:C5"/>
    <mergeCell ref="D4:D5"/>
    <mergeCell ref="E4:E5"/>
    <mergeCell ref="F4:F5"/>
  </mergeCells>
  <conditionalFormatting sqref="G26 G31 G34:G50 D74:G108 D52:G53 D25:F26 D29:F31 G6:G8 D6:F9 D10:G16 H9:J16 K6:K16 D56:G72 D54:E55 D18:K22">
    <cfRule type="expression" dxfId="292" priority="690">
      <formula>$D6="NonPrisEnCompte"</formula>
    </cfRule>
  </conditionalFormatting>
  <conditionalFormatting sqref="G100">
    <cfRule type="expression" dxfId="291" priority="686">
      <formula>$D100="NonPrisEnCompte"</formula>
    </cfRule>
  </conditionalFormatting>
  <conditionalFormatting sqref="G27">
    <cfRule type="expression" dxfId="290" priority="643">
      <formula>$D27="NonPrisEnCompte"</formula>
    </cfRule>
  </conditionalFormatting>
  <conditionalFormatting sqref="G23">
    <cfRule type="expression" dxfId="289" priority="646">
      <formula>$D23="NonPrisEnCompte"</formula>
    </cfRule>
  </conditionalFormatting>
  <conditionalFormatting sqref="G32">
    <cfRule type="expression" dxfId="288" priority="640">
      <formula>$D32="NonPrisEnCompte"</formula>
    </cfRule>
  </conditionalFormatting>
  <conditionalFormatting sqref="G74:G108 G52:G53 G9:G15 G56:G72">
    <cfRule type="expression" dxfId="287" priority="412">
      <formula>#REF!="NonPrisEnCompte"</formula>
    </cfRule>
  </conditionalFormatting>
  <conditionalFormatting sqref="G18:G21">
    <cfRule type="expression" dxfId="286" priority="411">
      <formula>#REF!="NonPrisEnCompte"</formula>
    </cfRule>
  </conditionalFormatting>
  <conditionalFormatting sqref="G24:G25">
    <cfRule type="expression" dxfId="285" priority="410">
      <formula>$D24="NonPrisEnCompte"</formula>
    </cfRule>
  </conditionalFormatting>
  <conditionalFormatting sqref="G24:G25">
    <cfRule type="expression" dxfId="284" priority="409">
      <formula>#REF!="NonPrisEnCompte"</formula>
    </cfRule>
  </conditionalFormatting>
  <conditionalFormatting sqref="G28:G30">
    <cfRule type="expression" dxfId="283" priority="408">
      <formula>$D28="NonPrisEnCompte"</formula>
    </cfRule>
  </conditionalFormatting>
  <conditionalFormatting sqref="G28:G30">
    <cfRule type="expression" dxfId="282" priority="407">
      <formula>#REF!="NonPrisEnCompte"</formula>
    </cfRule>
  </conditionalFormatting>
  <conditionalFormatting sqref="G33:G50">
    <cfRule type="expression" dxfId="281" priority="406">
      <formula>$D33="NonPrisEnCompte"</formula>
    </cfRule>
  </conditionalFormatting>
  <conditionalFormatting sqref="G33:G50">
    <cfRule type="expression" dxfId="280" priority="405">
      <formula>#REF!="NonPrisEnCompte"</formula>
    </cfRule>
  </conditionalFormatting>
  <conditionalFormatting sqref="G51">
    <cfRule type="expression" dxfId="279" priority="273">
      <formula>$D51="NonPrisEnCompte"</formula>
    </cfRule>
  </conditionalFormatting>
  <conditionalFormatting sqref="G51">
    <cfRule type="expression" dxfId="278" priority="270">
      <formula>$D51="NonPrisEnCompte"</formula>
    </cfRule>
  </conditionalFormatting>
  <conditionalFormatting sqref="G51">
    <cfRule type="expression" dxfId="277" priority="269">
      <formula>#REF!="NonPrisEnCompte"</formula>
    </cfRule>
  </conditionalFormatting>
  <conditionalFormatting sqref="D17">
    <cfRule type="expression" dxfId="276" priority="253">
      <formula>$D17="NonPrisEnCompte"</formula>
    </cfRule>
  </conditionalFormatting>
  <conditionalFormatting sqref="G73">
    <cfRule type="expression" dxfId="275" priority="267">
      <formula>$D73="NonPrisEnCompte"</formula>
    </cfRule>
  </conditionalFormatting>
  <conditionalFormatting sqref="G73">
    <cfRule type="expression" dxfId="274" priority="264">
      <formula>$D73="NonPrisEnCompte"</formula>
    </cfRule>
  </conditionalFormatting>
  <conditionalFormatting sqref="G73">
    <cfRule type="expression" dxfId="273" priority="263">
      <formula>#REF!="NonPrisEnCompte"</formula>
    </cfRule>
  </conditionalFormatting>
  <conditionalFormatting sqref="D32">
    <cfRule type="expression" dxfId="272" priority="247">
      <formula>$D32="NonPrisEnCompte"</formula>
    </cfRule>
  </conditionalFormatting>
  <conditionalFormatting sqref="F51">
    <cfRule type="expression" dxfId="271" priority="130">
      <formula>$D51="NonPrisEnCompte"</formula>
    </cfRule>
  </conditionalFormatting>
  <conditionalFormatting sqref="F73">
    <cfRule type="expression" dxfId="270" priority="129">
      <formula>$D73="NonPrisEnCompte"</formula>
    </cfRule>
  </conditionalFormatting>
  <conditionalFormatting sqref="D34:D50">
    <cfRule type="expression" dxfId="269" priority="254">
      <formula>$D34="NonPrisEnCompte"</formula>
    </cfRule>
  </conditionalFormatting>
  <conditionalFormatting sqref="D23">
    <cfRule type="expression" dxfId="268" priority="251">
      <formula>$D23="NonPrisEnCompte"</formula>
    </cfRule>
  </conditionalFormatting>
  <conditionalFormatting sqref="D24">
    <cfRule type="expression" dxfId="267" priority="252">
      <formula>$D24="NonPrisEnCompte"</formula>
    </cfRule>
  </conditionalFormatting>
  <conditionalFormatting sqref="D27">
    <cfRule type="expression" dxfId="266" priority="249">
      <formula>$D27="NonPrisEnCompte"</formula>
    </cfRule>
  </conditionalFormatting>
  <conditionalFormatting sqref="D28">
    <cfRule type="expression" dxfId="265" priority="250">
      <formula>$D28="NonPrisEnCompte"</formula>
    </cfRule>
  </conditionalFormatting>
  <conditionalFormatting sqref="D33">
    <cfRule type="expression" dxfId="264" priority="248">
      <formula>$D33="NonPrisEnCompte"</formula>
    </cfRule>
  </conditionalFormatting>
  <conditionalFormatting sqref="D51">
    <cfRule type="expression" dxfId="263" priority="216">
      <formula>$D51="NonPrisEnCompte"</formula>
    </cfRule>
  </conditionalFormatting>
  <conditionalFormatting sqref="D73">
    <cfRule type="expression" dxfId="262" priority="215">
      <formula>$D73="NonPrisEnCompte"</formula>
    </cfRule>
  </conditionalFormatting>
  <conditionalFormatting sqref="E34:E50">
    <cfRule type="expression" dxfId="261" priority="211">
      <formula>$D34="NonPrisEnCompte"</formula>
    </cfRule>
  </conditionalFormatting>
  <conditionalFormatting sqref="E17">
    <cfRule type="expression" dxfId="260" priority="210">
      <formula>$D17="NonPrisEnCompte"</formula>
    </cfRule>
  </conditionalFormatting>
  <conditionalFormatting sqref="E23">
    <cfRule type="expression" dxfId="259" priority="208">
      <formula>$D23="NonPrisEnCompte"</formula>
    </cfRule>
  </conditionalFormatting>
  <conditionalFormatting sqref="E24">
    <cfRule type="expression" dxfId="258" priority="209">
      <formula>$D24="NonPrisEnCompte"</formula>
    </cfRule>
  </conditionalFormatting>
  <conditionalFormatting sqref="E32">
    <cfRule type="expression" dxfId="257" priority="204">
      <formula>$D32="NonPrisEnCompte"</formula>
    </cfRule>
  </conditionalFormatting>
  <conditionalFormatting sqref="E27">
    <cfRule type="expression" dxfId="256" priority="206">
      <formula>$D27="NonPrisEnCompte"</formula>
    </cfRule>
  </conditionalFormatting>
  <conditionalFormatting sqref="E28">
    <cfRule type="expression" dxfId="255" priority="207">
      <formula>$D28="NonPrisEnCompte"</formula>
    </cfRule>
  </conditionalFormatting>
  <conditionalFormatting sqref="E33">
    <cfRule type="expression" dxfId="254" priority="205">
      <formula>$D33="NonPrisEnCompte"</formula>
    </cfRule>
  </conditionalFormatting>
  <conditionalFormatting sqref="E51">
    <cfRule type="expression" dxfId="253" priority="173">
      <formula>$D51="NonPrisEnCompte"</formula>
    </cfRule>
  </conditionalFormatting>
  <conditionalFormatting sqref="E73">
    <cfRule type="expression" dxfId="252" priority="172">
      <formula>$D73="NonPrisEnCompte"</formula>
    </cfRule>
  </conditionalFormatting>
  <conditionalFormatting sqref="F34:F50">
    <cfRule type="expression" dxfId="251" priority="168">
      <formula>$D34="NonPrisEnCompte"</formula>
    </cfRule>
  </conditionalFormatting>
  <conditionalFormatting sqref="F32">
    <cfRule type="expression" dxfId="250" priority="161">
      <formula>$D32="NonPrisEnCompte"</formula>
    </cfRule>
  </conditionalFormatting>
  <conditionalFormatting sqref="F23">
    <cfRule type="expression" dxfId="249" priority="165">
      <formula>$D23="NonPrisEnCompte"</formula>
    </cfRule>
  </conditionalFormatting>
  <conditionalFormatting sqref="F24">
    <cfRule type="expression" dxfId="248" priority="166">
      <formula>$D24="NonPrisEnCompte"</formula>
    </cfRule>
  </conditionalFormatting>
  <conditionalFormatting sqref="F27">
    <cfRule type="expression" dxfId="247" priority="163">
      <formula>$D27="NonPrisEnCompte"</formula>
    </cfRule>
  </conditionalFormatting>
  <conditionalFormatting sqref="F28">
    <cfRule type="expression" dxfId="246" priority="164">
      <formula>$D28="NonPrisEnCompte"</formula>
    </cfRule>
  </conditionalFormatting>
  <conditionalFormatting sqref="F33">
    <cfRule type="expression" dxfId="245" priority="162">
      <formula>$D33="NonPrisEnCompte"</formula>
    </cfRule>
  </conditionalFormatting>
  <conditionalFormatting sqref="K33">
    <cfRule type="expression" dxfId="244" priority="117">
      <formula>$D33="NonPrisEnCompte"</formula>
    </cfRule>
  </conditionalFormatting>
  <conditionalFormatting sqref="K32">
    <cfRule type="expression" dxfId="243" priority="116">
      <formula>$D32="NonPrisEnCompte"</formula>
    </cfRule>
  </conditionalFormatting>
  <conditionalFormatting sqref="K51">
    <cfRule type="expression" dxfId="242" priority="115">
      <formula>$D51="NonPrisEnCompte"</formula>
    </cfRule>
  </conditionalFormatting>
  <conditionalFormatting sqref="K73">
    <cfRule type="expression" dxfId="241" priority="114">
      <formula>$D73="NonPrisEnCompte"</formula>
    </cfRule>
  </conditionalFormatting>
  <conditionalFormatting sqref="K25:K26 K29:K31 K74:K108 K52:K72">
    <cfRule type="expression" dxfId="240" priority="124">
      <formula>$D25="NonPrisEnCompte"</formula>
    </cfRule>
  </conditionalFormatting>
  <conditionalFormatting sqref="K34:K50">
    <cfRule type="expression" dxfId="239" priority="123">
      <formula>$D34="NonPrisEnCompte"</formula>
    </cfRule>
  </conditionalFormatting>
  <conditionalFormatting sqref="K17">
    <cfRule type="expression" dxfId="238" priority="122">
      <formula>$D17="NonPrisEnCompte"</formula>
    </cfRule>
  </conditionalFormatting>
  <conditionalFormatting sqref="K23">
    <cfRule type="expression" dxfId="237" priority="120">
      <formula>$D23="NonPrisEnCompte"</formula>
    </cfRule>
  </conditionalFormatting>
  <conditionalFormatting sqref="K24">
    <cfRule type="expression" dxfId="236" priority="121">
      <formula>$D24="NonPrisEnCompte"</formula>
    </cfRule>
  </conditionalFormatting>
  <conditionalFormatting sqref="K27">
    <cfRule type="expression" dxfId="235" priority="118">
      <formula>$D27="NonPrisEnCompte"</formula>
    </cfRule>
  </conditionalFormatting>
  <conditionalFormatting sqref="K28">
    <cfRule type="expression" dxfId="234" priority="119">
      <formula>$D28="NonPrisEnCompte"</formula>
    </cfRule>
  </conditionalFormatting>
  <conditionalFormatting sqref="H73">
    <cfRule type="expression" dxfId="233" priority="47">
      <formula>$D73="NonPrisEnCompte"</formula>
    </cfRule>
  </conditionalFormatting>
  <conditionalFormatting sqref="J28">
    <cfRule type="expression" dxfId="232" priority="35">
      <formula>$D28="NonPrisEnCompte"</formula>
    </cfRule>
  </conditionalFormatting>
  <conditionalFormatting sqref="H8">
    <cfRule type="expression" dxfId="231" priority="45">
      <formula>$D8="NonPrisEnCompte"</formula>
    </cfRule>
  </conditionalFormatting>
  <conditionalFormatting sqref="H7 H25:H26 H34:H50 H74:H108 H52:H53 H56:H72 H30:H31">
    <cfRule type="expression" dxfId="230" priority="58">
      <formula>$D7="NonPrisEnCompte"</formula>
    </cfRule>
  </conditionalFormatting>
  <conditionalFormatting sqref="H100">
    <cfRule type="expression" dxfId="229" priority="57">
      <formula>$D100="NonPrisEnCompte"</formula>
    </cfRule>
  </conditionalFormatting>
  <conditionalFormatting sqref="H23">
    <cfRule type="expression" dxfId="228" priority="56">
      <formula>$D23="NonPrisEnCompte"</formula>
    </cfRule>
  </conditionalFormatting>
  <conditionalFormatting sqref="H33:H50">
    <cfRule type="expression" dxfId="227" priority="51">
      <formula>$D33="NonPrisEnCompte"</formula>
    </cfRule>
  </conditionalFormatting>
  <conditionalFormatting sqref="H51">
    <cfRule type="expression" dxfId="226" priority="50">
      <formula>$D51="NonPrisEnCompte"</formula>
    </cfRule>
  </conditionalFormatting>
  <conditionalFormatting sqref="H51">
    <cfRule type="expression" dxfId="225" priority="49">
      <formula>$D51="NonPrisEnCompte"</formula>
    </cfRule>
  </conditionalFormatting>
  <conditionalFormatting sqref="H73">
    <cfRule type="expression" dxfId="224" priority="48">
      <formula>$D73="NonPrisEnCompte"</formula>
    </cfRule>
  </conditionalFormatting>
  <conditionalFormatting sqref="I7 I25:I26 I29:I31 I34:I50 I74:I108 I52:I53 I56:I72">
    <cfRule type="expression" dxfId="223" priority="75">
      <formula>$D7="NonPrisEnCompte"</formula>
    </cfRule>
  </conditionalFormatting>
  <conditionalFormatting sqref="I32">
    <cfRule type="expression" dxfId="222" priority="71">
      <formula>$D32="NonPrisEnCompte"</formula>
    </cfRule>
  </conditionalFormatting>
  <conditionalFormatting sqref="I24">
    <cfRule type="expression" dxfId="221" priority="70">
      <formula>$D24="NonPrisEnCompte"</formula>
    </cfRule>
  </conditionalFormatting>
  <conditionalFormatting sqref="I28">
    <cfRule type="expression" dxfId="220" priority="69">
      <formula>$D28="NonPrisEnCompte"</formula>
    </cfRule>
  </conditionalFormatting>
  <conditionalFormatting sqref="I33:I50">
    <cfRule type="expression" dxfId="219" priority="68">
      <formula>$D33="NonPrisEnCompte"</formula>
    </cfRule>
  </conditionalFormatting>
  <conditionalFormatting sqref="I51">
    <cfRule type="expression" dxfId="218" priority="67">
      <formula>$D51="NonPrisEnCompte"</formula>
    </cfRule>
  </conditionalFormatting>
  <conditionalFormatting sqref="I73">
    <cfRule type="expression" dxfId="217" priority="65">
      <formula>$D73="NonPrisEnCompte"</formula>
    </cfRule>
  </conditionalFormatting>
  <conditionalFormatting sqref="I100">
    <cfRule type="expression" dxfId="216" priority="74">
      <formula>$D100="NonPrisEnCompte"</formula>
    </cfRule>
  </conditionalFormatting>
  <conditionalFormatting sqref="I23">
    <cfRule type="expression" dxfId="215" priority="73">
      <formula>$D23="NonPrisEnCompte"</formula>
    </cfRule>
  </conditionalFormatting>
  <conditionalFormatting sqref="I51">
    <cfRule type="expression" dxfId="214" priority="66">
      <formula>$D51="NonPrisEnCompte"</formula>
    </cfRule>
  </conditionalFormatting>
  <conditionalFormatting sqref="I73">
    <cfRule type="expression" dxfId="213" priority="64">
      <formula>$D73="NonPrisEnCompte"</formula>
    </cfRule>
  </conditionalFormatting>
  <conditionalFormatting sqref="I8">
    <cfRule type="expression" dxfId="212" priority="62">
      <formula>$D8="NonPrisEnCompte"</formula>
    </cfRule>
  </conditionalFormatting>
  <conditionalFormatting sqref="H32">
    <cfRule type="expression" dxfId="211" priority="54">
      <formula>$D32="NonPrisEnCompte"</formula>
    </cfRule>
  </conditionalFormatting>
  <conditionalFormatting sqref="H24">
    <cfRule type="expression" dxfId="210" priority="53">
      <formula>$D24="NonPrisEnCompte"</formula>
    </cfRule>
  </conditionalFormatting>
  <conditionalFormatting sqref="H28">
    <cfRule type="expression" dxfId="209" priority="52">
      <formula>$D28="NonPrisEnCompte"</formula>
    </cfRule>
  </conditionalFormatting>
  <conditionalFormatting sqref="J8">
    <cfRule type="expression" dxfId="208" priority="28">
      <formula>$D8="NonPrisEnCompte"</formula>
    </cfRule>
  </conditionalFormatting>
  <conditionalFormatting sqref="J73">
    <cfRule type="expression" dxfId="207" priority="30">
      <formula>$D73="NonPrisEnCompte"</formula>
    </cfRule>
  </conditionalFormatting>
  <conditionalFormatting sqref="I54">
    <cfRule type="expression" dxfId="206" priority="21">
      <formula>$D54="NonPrisEnCompte"</formula>
    </cfRule>
  </conditionalFormatting>
  <conditionalFormatting sqref="J51">
    <cfRule type="expression" dxfId="205" priority="33">
      <formula>$D51="NonPrisEnCompte"</formula>
    </cfRule>
  </conditionalFormatting>
  <conditionalFormatting sqref="J73">
    <cfRule type="expression" dxfId="204" priority="31">
      <formula>$D73="NonPrisEnCompte"</formula>
    </cfRule>
  </conditionalFormatting>
  <conditionalFormatting sqref="J7 J25:J26 J29:J31 J34:J50 J74:J108 J52:J53 J56:J72">
    <cfRule type="expression" dxfId="203" priority="41">
      <formula>$D7="NonPrisEnCompte"</formula>
    </cfRule>
  </conditionalFormatting>
  <conditionalFormatting sqref="J100">
    <cfRule type="expression" dxfId="202" priority="40">
      <formula>$D100="NonPrisEnCompte"</formula>
    </cfRule>
  </conditionalFormatting>
  <conditionalFormatting sqref="J23">
    <cfRule type="expression" dxfId="201" priority="39">
      <formula>$D23="NonPrisEnCompte"</formula>
    </cfRule>
  </conditionalFormatting>
  <conditionalFormatting sqref="J32">
    <cfRule type="expression" dxfId="200" priority="37">
      <formula>$D32="NonPrisEnCompte"</formula>
    </cfRule>
  </conditionalFormatting>
  <conditionalFormatting sqref="J24">
    <cfRule type="expression" dxfId="199" priority="36">
      <formula>$D24="NonPrisEnCompte"</formula>
    </cfRule>
  </conditionalFormatting>
  <conditionalFormatting sqref="J33:J50">
    <cfRule type="expression" dxfId="198" priority="34">
      <formula>$D33="NonPrisEnCompte"</formula>
    </cfRule>
  </conditionalFormatting>
  <conditionalFormatting sqref="J51">
    <cfRule type="expression" dxfId="197" priority="32">
      <formula>$D51="NonPrisEnCompte"</formula>
    </cfRule>
  </conditionalFormatting>
  <conditionalFormatting sqref="F54">
    <cfRule type="expression" dxfId="196" priority="27">
      <formula>$D54="NonPrisEnCompte"</formula>
    </cfRule>
  </conditionalFormatting>
  <conditionalFormatting sqref="F55">
    <cfRule type="expression" dxfId="195" priority="26">
      <formula>$D55="NonPrisEnCompte"</formula>
    </cfRule>
  </conditionalFormatting>
  <conditionalFormatting sqref="J54">
    <cfRule type="expression" dxfId="194" priority="19">
      <formula>$D54="NonPrisEnCompte"</formula>
    </cfRule>
  </conditionalFormatting>
  <conditionalFormatting sqref="G55">
    <cfRule type="expression" dxfId="193" priority="18">
      <formula>$D55="NonPrisEnCompte"</formula>
    </cfRule>
  </conditionalFormatting>
  <conditionalFormatting sqref="G54">
    <cfRule type="expression" dxfId="192" priority="23">
      <formula>$D54="NonPrisEnCompte"</formula>
    </cfRule>
  </conditionalFormatting>
  <conditionalFormatting sqref="G54">
    <cfRule type="expression" dxfId="191" priority="22">
      <formula>#REF!="NonPrisEnCompte"</formula>
    </cfRule>
  </conditionalFormatting>
  <conditionalFormatting sqref="H54">
    <cfRule type="expression" dxfId="190" priority="20">
      <formula>$D54="NonPrisEnCompte"</formula>
    </cfRule>
  </conditionalFormatting>
  <conditionalFormatting sqref="G55">
    <cfRule type="expression" dxfId="189" priority="17">
      <formula>#REF!="NonPrisEnCompte"</formula>
    </cfRule>
  </conditionalFormatting>
  <conditionalFormatting sqref="H55">
    <cfRule type="expression" dxfId="188" priority="15">
      <formula>$D55="NonPrisEnCompte"</formula>
    </cfRule>
  </conditionalFormatting>
  <conditionalFormatting sqref="I55">
    <cfRule type="expression" dxfId="187" priority="16">
      <formula>$D55="NonPrisEnCompte"</formula>
    </cfRule>
  </conditionalFormatting>
  <conditionalFormatting sqref="J55">
    <cfRule type="expression" dxfId="186" priority="14">
      <formula>$D55="NonPrisEnCompte"</formula>
    </cfRule>
  </conditionalFormatting>
  <conditionalFormatting sqref="H29">
    <cfRule type="expression" dxfId="185" priority="13">
      <formula>$D29="NonPrisEnCompte"</formula>
    </cfRule>
  </conditionalFormatting>
  <conditionalFormatting sqref="F17:G17">
    <cfRule type="expression" dxfId="184" priority="8">
      <formula>$D17="NonPrisEnCompte"</formula>
    </cfRule>
  </conditionalFormatting>
  <conditionalFormatting sqref="H17">
    <cfRule type="expression" dxfId="183" priority="6">
      <formula>$D17="NonPrisEnCompte"</formula>
    </cfRule>
  </conditionalFormatting>
  <conditionalFormatting sqref="I17">
    <cfRule type="expression" dxfId="182" priority="7">
      <formula>$D17="NonPrisEnCompte"</formula>
    </cfRule>
  </conditionalFormatting>
  <conditionalFormatting sqref="J17">
    <cfRule type="expression" dxfId="181" priority="5">
      <formula>$D17="NonPrisEnCompte"</formula>
    </cfRule>
  </conditionalFormatting>
  <conditionalFormatting sqref="H27:J27">
    <cfRule type="expression" dxfId="180" priority="2">
      <formula>$D27="NonPrisEnCompte"</formula>
    </cfRule>
  </conditionalFormatting>
  <conditionalFormatting sqref="H6:J6">
    <cfRule type="expression" dxfId="179" priority="1">
      <formula>$D6="NonPrisEnCompte"</formula>
    </cfRule>
  </conditionalFormatting>
  <pageMargins left="0.7" right="0.7" top="0.75" bottom="0.75" header="0.3" footer="0.3"/>
  <pageSetup paperSize="9" scale="1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K41"/>
  <sheetViews>
    <sheetView showGridLines="0" zoomScale="85" zoomScaleNormal="85" workbookViewId="0">
      <pane xSplit="3" ySplit="5" topLeftCell="D6" activePane="bottomRight" state="frozen"/>
      <selection activeCell="G14" sqref="G1:G1048576"/>
      <selection pane="topRight" activeCell="G14" sqref="G1:G1048576"/>
      <selection pane="bottomLeft" activeCell="G14" sqref="G1:G1048576"/>
      <selection pane="bottomRight" activeCell="I26" sqref="I26"/>
    </sheetView>
  </sheetViews>
  <sheetFormatPr baseColWidth="10" defaultRowHeight="15" x14ac:dyDescent="0.25"/>
  <cols>
    <col min="1" max="1" width="1.7109375" customWidth="1"/>
    <col min="2" max="2" width="8.140625" style="3" customWidth="1"/>
    <col min="3" max="3" width="71.7109375" style="3" bestFit="1" customWidth="1"/>
    <col min="4" max="11" width="13.5703125" style="13" customWidth="1"/>
  </cols>
  <sheetData>
    <row r="1" spans="1:11" ht="23.25" x14ac:dyDescent="0.35">
      <c r="A1" s="8" t="s">
        <v>189</v>
      </c>
    </row>
    <row r="2" spans="1:11" ht="12.75" customHeight="1" x14ac:dyDescent="0.25">
      <c r="A2" s="7"/>
    </row>
    <row r="3" spans="1:11" x14ac:dyDescent="0.25">
      <c r="K3" s="13" t="s">
        <v>116</v>
      </c>
    </row>
    <row r="4" spans="1:11" ht="15.75" customHeight="1" thickBot="1" x14ac:dyDescent="0.3">
      <c r="B4" s="174" t="s">
        <v>158</v>
      </c>
      <c r="C4" s="182" t="s">
        <v>147</v>
      </c>
      <c r="D4" s="175" t="s">
        <v>329</v>
      </c>
      <c r="E4" s="175" t="s">
        <v>330</v>
      </c>
      <c r="F4" s="175" t="s">
        <v>331</v>
      </c>
      <c r="G4" s="28" t="s">
        <v>332</v>
      </c>
      <c r="H4" s="28"/>
      <c r="I4" s="28"/>
      <c r="J4" s="28"/>
      <c r="K4" s="175" t="s">
        <v>333</v>
      </c>
    </row>
    <row r="5" spans="1:11" ht="51" customHeight="1" thickBot="1" x14ac:dyDescent="0.3">
      <c r="B5" s="174"/>
      <c r="C5" s="182"/>
      <c r="D5" s="175"/>
      <c r="E5" s="175"/>
      <c r="F5" s="175"/>
      <c r="G5" s="29" t="s">
        <v>146</v>
      </c>
      <c r="H5" s="30" t="s">
        <v>145</v>
      </c>
      <c r="I5" s="30" t="s">
        <v>132</v>
      </c>
      <c r="J5" s="31" t="s">
        <v>144</v>
      </c>
      <c r="K5" s="175"/>
    </row>
    <row r="6" spans="1:11" ht="12.75" customHeight="1" thickBot="1" x14ac:dyDescent="0.3">
      <c r="B6" s="32">
        <v>200</v>
      </c>
      <c r="C6" s="36" t="s">
        <v>151</v>
      </c>
      <c r="D6" s="37">
        <f t="shared" ref="D6:K6" si="0">D7+D14+D23</f>
        <v>137321974393.28</v>
      </c>
      <c r="E6" s="37">
        <f t="shared" si="0"/>
        <v>136189146022</v>
      </c>
      <c r="F6" s="37">
        <f t="shared" si="0"/>
        <v>145100552381</v>
      </c>
      <c r="G6" s="37">
        <f t="shared" si="0"/>
        <v>-3248087734</v>
      </c>
      <c r="H6" s="37">
        <f t="shared" si="0"/>
        <v>889000000</v>
      </c>
      <c r="I6" s="37">
        <f t="shared" si="0"/>
        <v>0</v>
      </c>
      <c r="J6" s="37">
        <f t="shared" si="0"/>
        <v>0</v>
      </c>
      <c r="K6" s="37">
        <f t="shared" si="0"/>
        <v>142741464648</v>
      </c>
    </row>
    <row r="7" spans="1:11" ht="12.75" customHeight="1" x14ac:dyDescent="0.25">
      <c r="B7" s="5" t="s">
        <v>38</v>
      </c>
      <c r="C7" s="5" t="s">
        <v>47</v>
      </c>
      <c r="D7" s="17">
        <v>105200732018.50999</v>
      </c>
      <c r="E7" s="17">
        <v>103358158375</v>
      </c>
      <c r="F7" s="17">
        <v>110506773816</v>
      </c>
      <c r="G7" s="17">
        <f t="shared" ref="G7:J7" si="1">SUM(G8:G13)</f>
        <v>-324845793</v>
      </c>
      <c r="H7" s="17">
        <f t="shared" si="1"/>
        <v>0</v>
      </c>
      <c r="I7" s="17">
        <f t="shared" si="1"/>
        <v>0</v>
      </c>
      <c r="J7" s="17">
        <f t="shared" si="1"/>
        <v>0</v>
      </c>
      <c r="K7" s="17">
        <v>110181928023</v>
      </c>
    </row>
    <row r="8" spans="1:11" ht="12.75" customHeight="1" x14ac:dyDescent="0.25">
      <c r="B8" s="4" t="s">
        <v>46</v>
      </c>
      <c r="C8" s="4" t="s">
        <v>31</v>
      </c>
      <c r="D8" s="16">
        <v>17877682970.779999</v>
      </c>
      <c r="E8" s="16">
        <v>11382168515</v>
      </c>
      <c r="F8" s="16">
        <v>18454471940</v>
      </c>
      <c r="G8" s="16">
        <f t="shared" ref="G8:G32" si="2">K8-F8-H8-I8-J8</f>
        <v>-2933858456</v>
      </c>
      <c r="H8" s="16">
        <v>0</v>
      </c>
      <c r="I8" s="16">
        <v>0</v>
      </c>
      <c r="J8" s="16">
        <v>0</v>
      </c>
      <c r="K8" s="16">
        <v>15520613484</v>
      </c>
    </row>
    <row r="9" spans="1:11" ht="12.75" customHeight="1" x14ac:dyDescent="0.25">
      <c r="B9" s="4" t="s">
        <v>45</v>
      </c>
      <c r="C9" s="4" t="s">
        <v>44</v>
      </c>
      <c r="D9" s="16">
        <v>74017246391.729996</v>
      </c>
      <c r="E9" s="16">
        <v>79326599860</v>
      </c>
      <c r="F9" s="16">
        <v>77587385418</v>
      </c>
      <c r="G9" s="16">
        <f t="shared" si="2"/>
        <v>2727812663</v>
      </c>
      <c r="H9" s="16">
        <v>0</v>
      </c>
      <c r="I9" s="16">
        <v>0</v>
      </c>
      <c r="J9" s="16">
        <v>0</v>
      </c>
      <c r="K9" s="16">
        <v>80315198081</v>
      </c>
    </row>
    <row r="10" spans="1:11" ht="12.75" customHeight="1" x14ac:dyDescent="0.25">
      <c r="B10" s="4" t="s">
        <v>43</v>
      </c>
      <c r="C10" s="4" t="s">
        <v>42</v>
      </c>
      <c r="D10" s="16">
        <v>116458</v>
      </c>
      <c r="E10" s="16">
        <v>390000</v>
      </c>
      <c r="F10" s="16">
        <v>116458</v>
      </c>
      <c r="G10" s="16">
        <f t="shared" si="2"/>
        <v>0</v>
      </c>
      <c r="H10" s="16">
        <v>0</v>
      </c>
      <c r="I10" s="16">
        <v>0</v>
      </c>
      <c r="J10" s="16">
        <v>0</v>
      </c>
      <c r="K10" s="16">
        <v>116458</v>
      </c>
    </row>
    <row r="11" spans="1:11" ht="12.75" customHeight="1" x14ac:dyDescent="0.25">
      <c r="B11" s="4" t="s">
        <v>41</v>
      </c>
      <c r="C11" s="4" t="s">
        <v>40</v>
      </c>
      <c r="D11" s="16">
        <v>393713771</v>
      </c>
      <c r="E11" s="16">
        <v>200000000</v>
      </c>
      <c r="F11" s="16">
        <v>635800000</v>
      </c>
      <c r="G11" s="16">
        <f t="shared" si="2"/>
        <v>-112800000</v>
      </c>
      <c r="H11" s="16">
        <v>0</v>
      </c>
      <c r="I11" s="16">
        <v>0</v>
      </c>
      <c r="J11" s="16">
        <v>0</v>
      </c>
      <c r="K11" s="16">
        <v>523000000</v>
      </c>
    </row>
    <row r="12" spans="1:11" ht="12.75" customHeight="1" x14ac:dyDescent="0.25">
      <c r="B12" s="4" t="s">
        <v>39</v>
      </c>
      <c r="C12" s="4" t="s">
        <v>33</v>
      </c>
      <c r="D12" s="16">
        <v>12423138029</v>
      </c>
      <c r="E12" s="16">
        <v>11949000000</v>
      </c>
      <c r="F12" s="16">
        <v>13329000000</v>
      </c>
      <c r="G12" s="16">
        <f t="shared" si="2"/>
        <v>-6000000</v>
      </c>
      <c r="H12" s="16">
        <v>0</v>
      </c>
      <c r="I12" s="16">
        <v>0</v>
      </c>
      <c r="J12" s="16">
        <v>0</v>
      </c>
      <c r="K12" s="16">
        <v>13323000000</v>
      </c>
    </row>
    <row r="13" spans="1:11" ht="12.75" customHeight="1" x14ac:dyDescent="0.25">
      <c r="B13" s="4" t="s">
        <v>37</v>
      </c>
      <c r="C13" s="4" t="s">
        <v>36</v>
      </c>
      <c r="D13" s="16">
        <v>488834398</v>
      </c>
      <c r="E13" s="16">
        <v>500000000</v>
      </c>
      <c r="F13" s="16">
        <v>500000000</v>
      </c>
      <c r="G13" s="16">
        <f t="shared" si="2"/>
        <v>0</v>
      </c>
      <c r="H13" s="16">
        <v>0</v>
      </c>
      <c r="I13" s="16">
        <v>0</v>
      </c>
      <c r="J13" s="16">
        <v>0</v>
      </c>
      <c r="K13" s="16">
        <v>500000000</v>
      </c>
    </row>
    <row r="14" spans="1:11" ht="12.75" customHeight="1" x14ac:dyDescent="0.25">
      <c r="B14" s="5" t="s">
        <v>23</v>
      </c>
      <c r="C14" s="5" t="s">
        <v>35</v>
      </c>
      <c r="D14" s="17">
        <v>18126036487.75</v>
      </c>
      <c r="E14" s="17">
        <v>17803815042</v>
      </c>
      <c r="F14" s="17">
        <v>18388293890</v>
      </c>
      <c r="G14" s="17">
        <f>SUM(G15:G22)</f>
        <v>432641292</v>
      </c>
      <c r="H14" s="17">
        <f>SUM(H15:H22)</f>
        <v>0</v>
      </c>
      <c r="I14" s="17">
        <f>SUM(I15:I22)</f>
        <v>0</v>
      </c>
      <c r="J14" s="17">
        <f>SUM(J15:J22)</f>
        <v>0</v>
      </c>
      <c r="K14" s="17">
        <v>18820935183</v>
      </c>
    </row>
    <row r="15" spans="1:11" ht="12.75" customHeight="1" x14ac:dyDescent="0.25">
      <c r="B15" s="4" t="s">
        <v>34</v>
      </c>
      <c r="C15" s="4" t="s">
        <v>33</v>
      </c>
      <c r="D15" s="16">
        <v>2098193494.6500001</v>
      </c>
      <c r="E15" s="16">
        <v>2103000000</v>
      </c>
      <c r="F15" s="16">
        <v>2252000000</v>
      </c>
      <c r="G15" s="16">
        <f t="shared" si="2"/>
        <v>0</v>
      </c>
      <c r="H15" s="16">
        <v>0</v>
      </c>
      <c r="I15" s="16">
        <v>0</v>
      </c>
      <c r="J15" s="16">
        <v>0</v>
      </c>
      <c r="K15" s="16">
        <v>2252000000</v>
      </c>
    </row>
    <row r="16" spans="1:11" ht="12.75" customHeight="1" x14ac:dyDescent="0.25">
      <c r="B16" s="4" t="s">
        <v>32</v>
      </c>
      <c r="C16" s="4" t="s">
        <v>31</v>
      </c>
      <c r="D16" s="16">
        <v>7149259252.3999996</v>
      </c>
      <c r="E16" s="16">
        <v>6337938267</v>
      </c>
      <c r="F16" s="16">
        <v>6605331940</v>
      </c>
      <c r="G16" s="16">
        <f t="shared" si="2"/>
        <v>97021544</v>
      </c>
      <c r="H16" s="16">
        <v>0</v>
      </c>
      <c r="I16" s="16">
        <v>0</v>
      </c>
      <c r="J16" s="16">
        <v>0</v>
      </c>
      <c r="K16" s="16">
        <v>6702353484</v>
      </c>
    </row>
    <row r="17" spans="2:11" ht="12.75" customHeight="1" x14ac:dyDescent="0.25">
      <c r="B17" s="4" t="s">
        <v>29</v>
      </c>
      <c r="C17" s="4" t="s">
        <v>85</v>
      </c>
      <c r="D17" s="16">
        <v>1910471114.01</v>
      </c>
      <c r="E17" s="16">
        <v>1989754450</v>
      </c>
      <c r="F17" s="16">
        <v>2051043219</v>
      </c>
      <c r="G17" s="16">
        <f t="shared" si="2"/>
        <v>-488996101</v>
      </c>
      <c r="H17" s="16">
        <v>0</v>
      </c>
      <c r="I17" s="16">
        <v>0</v>
      </c>
      <c r="J17" s="16">
        <v>0</v>
      </c>
      <c r="K17" s="16">
        <v>1562047118</v>
      </c>
    </row>
    <row r="18" spans="2:11" ht="12.75" customHeight="1" x14ac:dyDescent="0.25">
      <c r="B18" s="4" t="s">
        <v>28</v>
      </c>
      <c r="C18" s="4" t="s">
        <v>152</v>
      </c>
      <c r="D18" s="16">
        <v>35302014.630000003</v>
      </c>
      <c r="E18" s="16">
        <v>15000000</v>
      </c>
      <c r="F18" s="16">
        <v>35302015</v>
      </c>
      <c r="G18" s="16">
        <f t="shared" si="2"/>
        <v>0</v>
      </c>
      <c r="H18" s="16">
        <v>0</v>
      </c>
      <c r="I18" s="16">
        <v>0</v>
      </c>
      <c r="J18" s="16">
        <v>0</v>
      </c>
      <c r="K18" s="16">
        <v>35302015</v>
      </c>
    </row>
    <row r="19" spans="2:11" ht="12.75" customHeight="1" x14ac:dyDescent="0.25">
      <c r="B19" s="4" t="s">
        <v>27</v>
      </c>
      <c r="C19" s="4" t="s">
        <v>153</v>
      </c>
      <c r="D19" s="16">
        <v>0.1</v>
      </c>
      <c r="E19" s="16">
        <v>0</v>
      </c>
      <c r="F19" s="16">
        <v>0</v>
      </c>
      <c r="G19" s="16">
        <f t="shared" si="2"/>
        <v>0</v>
      </c>
      <c r="H19" s="16">
        <v>0</v>
      </c>
      <c r="I19" s="16">
        <v>0</v>
      </c>
      <c r="J19" s="16">
        <v>0</v>
      </c>
      <c r="K19" s="16">
        <v>0</v>
      </c>
    </row>
    <row r="20" spans="2:11" ht="12.75" customHeight="1" x14ac:dyDescent="0.25">
      <c r="B20" s="4" t="s">
        <v>26</v>
      </c>
      <c r="C20" s="4" t="s">
        <v>25</v>
      </c>
      <c r="D20" s="16">
        <v>5613175642</v>
      </c>
      <c r="E20" s="16">
        <v>5370000000</v>
      </c>
      <c r="F20" s="16">
        <v>5759976540</v>
      </c>
      <c r="G20" s="16">
        <f t="shared" si="2"/>
        <v>-30976540</v>
      </c>
      <c r="H20" s="16">
        <v>0</v>
      </c>
      <c r="I20" s="16">
        <v>0</v>
      </c>
      <c r="J20" s="16">
        <v>0</v>
      </c>
      <c r="K20" s="16">
        <v>5729000000</v>
      </c>
    </row>
    <row r="21" spans="2:11" ht="12.75" customHeight="1" x14ac:dyDescent="0.25">
      <c r="B21" s="4" t="s">
        <v>24</v>
      </c>
      <c r="C21" s="4" t="s">
        <v>154</v>
      </c>
      <c r="D21" s="16">
        <v>474035730.37</v>
      </c>
      <c r="E21" s="16">
        <v>100000000</v>
      </c>
      <c r="F21" s="16">
        <v>100000000</v>
      </c>
      <c r="G21" s="16">
        <f t="shared" si="2"/>
        <v>50000000</v>
      </c>
      <c r="H21" s="16">
        <v>0</v>
      </c>
      <c r="I21" s="16">
        <v>0</v>
      </c>
      <c r="J21" s="16">
        <v>0</v>
      </c>
      <c r="K21" s="16">
        <v>150000000</v>
      </c>
    </row>
    <row r="22" spans="2:11" ht="12.75" customHeight="1" x14ac:dyDescent="0.25">
      <c r="B22" s="4" t="s">
        <v>22</v>
      </c>
      <c r="C22" s="4" t="s">
        <v>155</v>
      </c>
      <c r="D22" s="16">
        <v>845599239.59000003</v>
      </c>
      <c r="E22" s="16">
        <v>1888122325</v>
      </c>
      <c r="F22" s="16">
        <v>1584640176</v>
      </c>
      <c r="G22" s="16">
        <f t="shared" si="2"/>
        <v>805592389</v>
      </c>
      <c r="H22" s="16">
        <v>0</v>
      </c>
      <c r="I22" s="16">
        <v>0</v>
      </c>
      <c r="J22" s="16">
        <v>0</v>
      </c>
      <c r="K22" s="16">
        <v>2390232565</v>
      </c>
    </row>
    <row r="23" spans="2:11" ht="12.75" customHeight="1" x14ac:dyDescent="0.25">
      <c r="B23" s="5" t="s">
        <v>3</v>
      </c>
      <c r="C23" s="5" t="s">
        <v>21</v>
      </c>
      <c r="D23" s="17">
        <v>13995205887.019999</v>
      </c>
      <c r="E23" s="17">
        <v>15027172605</v>
      </c>
      <c r="F23" s="17">
        <v>16205484675</v>
      </c>
      <c r="G23" s="17">
        <f t="shared" ref="G23:J23" si="3">SUM(G24:G32)</f>
        <v>-3355883233</v>
      </c>
      <c r="H23" s="17">
        <f t="shared" si="3"/>
        <v>889000000</v>
      </c>
      <c r="I23" s="17">
        <f t="shared" si="3"/>
        <v>0</v>
      </c>
      <c r="J23" s="17">
        <f t="shared" si="3"/>
        <v>0</v>
      </c>
      <c r="K23" s="17">
        <v>13738601442</v>
      </c>
    </row>
    <row r="24" spans="2:11" ht="12.75" customHeight="1" x14ac:dyDescent="0.25">
      <c r="B24" s="4" t="s">
        <v>20</v>
      </c>
      <c r="C24" s="4" t="s">
        <v>19</v>
      </c>
      <c r="D24" s="16">
        <v>2390253092.6500001</v>
      </c>
      <c r="E24" s="16">
        <v>2300000000</v>
      </c>
      <c r="F24" s="16">
        <v>2600000000</v>
      </c>
      <c r="G24" s="16">
        <f t="shared" si="2"/>
        <v>0</v>
      </c>
      <c r="H24" s="16">
        <v>0</v>
      </c>
      <c r="I24" s="16">
        <v>0</v>
      </c>
      <c r="J24" s="16">
        <v>0</v>
      </c>
      <c r="K24" s="16">
        <v>2600000000</v>
      </c>
    </row>
    <row r="25" spans="2:11" ht="12.75" customHeight="1" x14ac:dyDescent="0.25">
      <c r="B25" s="4" t="s">
        <v>17</v>
      </c>
      <c r="C25" s="4" t="s">
        <v>16</v>
      </c>
      <c r="D25" s="16">
        <v>859786071.16999996</v>
      </c>
      <c r="E25" s="16">
        <v>1524423588</v>
      </c>
      <c r="F25" s="16">
        <v>1300299955</v>
      </c>
      <c r="G25" s="16">
        <f t="shared" si="2"/>
        <v>-212157</v>
      </c>
      <c r="H25" s="16">
        <v>0</v>
      </c>
      <c r="I25" s="16">
        <v>0</v>
      </c>
      <c r="J25" s="16">
        <v>0</v>
      </c>
      <c r="K25" s="16">
        <v>1300087798</v>
      </c>
    </row>
    <row r="26" spans="2:11" ht="12.75" customHeight="1" x14ac:dyDescent="0.25">
      <c r="B26" s="4" t="s">
        <v>15</v>
      </c>
      <c r="C26" s="4" t="s">
        <v>14</v>
      </c>
      <c r="D26" s="16">
        <v>2135180304.3800001</v>
      </c>
      <c r="E26" s="16">
        <v>2982719649</v>
      </c>
      <c r="F26" s="16">
        <v>3569000000</v>
      </c>
      <c r="G26" s="16">
        <f t="shared" si="2"/>
        <v>-2440400000</v>
      </c>
      <c r="H26" s="16">
        <v>889000000</v>
      </c>
      <c r="I26" s="16">
        <v>0</v>
      </c>
      <c r="J26" s="16">
        <v>0</v>
      </c>
      <c r="K26" s="16">
        <v>2017600000</v>
      </c>
    </row>
    <row r="27" spans="2:11" ht="12.75" customHeight="1" x14ac:dyDescent="0.25">
      <c r="B27" s="4" t="s">
        <v>12</v>
      </c>
      <c r="C27" s="4" t="s">
        <v>11</v>
      </c>
      <c r="D27" s="16">
        <v>3595565619.1900001</v>
      </c>
      <c r="E27" s="16">
        <v>4126229999</v>
      </c>
      <c r="F27" s="16">
        <v>3300584996</v>
      </c>
      <c r="G27" s="16">
        <f t="shared" si="2"/>
        <v>62328924</v>
      </c>
      <c r="H27" s="16">
        <v>0</v>
      </c>
      <c r="I27" s="16">
        <v>0</v>
      </c>
      <c r="J27" s="16">
        <v>0</v>
      </c>
      <c r="K27" s="16">
        <v>3362913920</v>
      </c>
    </row>
    <row r="28" spans="2:11" ht="12.75" customHeight="1" x14ac:dyDescent="0.25">
      <c r="B28" s="4" t="s">
        <v>10</v>
      </c>
      <c r="C28" s="4" t="s">
        <v>9</v>
      </c>
      <c r="D28" s="16">
        <v>654031941.13</v>
      </c>
      <c r="E28" s="16">
        <v>680000000</v>
      </c>
      <c r="F28" s="16">
        <v>700000000</v>
      </c>
      <c r="G28" s="16">
        <f t="shared" si="2"/>
        <v>0</v>
      </c>
      <c r="H28" s="16">
        <v>0</v>
      </c>
      <c r="I28" s="16">
        <v>0</v>
      </c>
      <c r="J28" s="16">
        <v>0</v>
      </c>
      <c r="K28" s="16">
        <v>700000000</v>
      </c>
    </row>
    <row r="29" spans="2:11" ht="12.75" customHeight="1" x14ac:dyDescent="0.25">
      <c r="B29" s="4" t="s">
        <v>8</v>
      </c>
      <c r="C29" s="4" t="s">
        <v>7</v>
      </c>
      <c r="D29" s="16">
        <v>1387527844.01</v>
      </c>
      <c r="E29" s="16">
        <v>715757000</v>
      </c>
      <c r="F29" s="16">
        <v>1184000000</v>
      </c>
      <c r="G29" s="16">
        <f t="shared" si="2"/>
        <v>-284000000</v>
      </c>
      <c r="H29" s="16">
        <v>0</v>
      </c>
      <c r="I29" s="16">
        <v>0</v>
      </c>
      <c r="J29" s="16">
        <v>0</v>
      </c>
      <c r="K29" s="16">
        <v>900000000</v>
      </c>
    </row>
    <row r="30" spans="2:11" ht="12.75" customHeight="1" x14ac:dyDescent="0.25">
      <c r="B30" s="4" t="s">
        <v>6</v>
      </c>
      <c r="C30" s="4" t="s">
        <v>5</v>
      </c>
      <c r="D30" s="16">
        <v>2249404237.1300001</v>
      </c>
      <c r="E30" s="16">
        <v>1968042369</v>
      </c>
      <c r="F30" s="16">
        <v>2994599724</v>
      </c>
      <c r="G30" s="16">
        <f t="shared" si="2"/>
        <v>-724000000</v>
      </c>
      <c r="H30" s="16">
        <v>0</v>
      </c>
      <c r="I30" s="16">
        <v>0</v>
      </c>
      <c r="J30" s="16">
        <v>0</v>
      </c>
      <c r="K30" s="16">
        <v>2270599724</v>
      </c>
    </row>
    <row r="31" spans="2:11" ht="12.75" customHeight="1" x14ac:dyDescent="0.25">
      <c r="B31" s="4" t="s">
        <v>4</v>
      </c>
      <c r="C31" s="4" t="s">
        <v>156</v>
      </c>
      <c r="D31" s="16">
        <v>607008534.22000003</v>
      </c>
      <c r="E31" s="16">
        <v>630000000</v>
      </c>
      <c r="F31" s="16">
        <v>457000000</v>
      </c>
      <c r="G31" s="16">
        <f t="shared" si="2"/>
        <v>30400000</v>
      </c>
      <c r="H31" s="16">
        <v>0</v>
      </c>
      <c r="I31" s="16">
        <v>0</v>
      </c>
      <c r="J31" s="16">
        <v>0</v>
      </c>
      <c r="K31" s="16">
        <v>487400000</v>
      </c>
    </row>
    <row r="32" spans="2:11" ht="12.75" customHeight="1" x14ac:dyDescent="0.25">
      <c r="B32" s="4" t="s">
        <v>1</v>
      </c>
      <c r="C32" s="4" t="s">
        <v>157</v>
      </c>
      <c r="D32" s="16">
        <v>116448243.14</v>
      </c>
      <c r="E32" s="16">
        <v>100000000</v>
      </c>
      <c r="F32" s="16">
        <v>100000000</v>
      </c>
      <c r="G32" s="16">
        <f t="shared" si="2"/>
        <v>0</v>
      </c>
      <c r="H32" s="16">
        <v>0</v>
      </c>
      <c r="I32" s="16">
        <v>0</v>
      </c>
      <c r="J32" s="16">
        <v>0</v>
      </c>
      <c r="K32" s="16">
        <v>100000000</v>
      </c>
    </row>
    <row r="33" spans="2:11" x14ac:dyDescent="0.25">
      <c r="B33" s="47"/>
      <c r="C33" s="47"/>
      <c r="D33" s="76"/>
      <c r="E33" s="76"/>
      <c r="F33" s="76"/>
      <c r="G33" s="76"/>
      <c r="H33" s="76"/>
      <c r="I33" s="76"/>
      <c r="J33" s="76"/>
      <c r="K33" s="76"/>
    </row>
    <row r="34" spans="2:11" x14ac:dyDescent="0.25">
      <c r="B34" s="48"/>
      <c r="C34" s="48"/>
    </row>
    <row r="35" spans="2:11" x14ac:dyDescent="0.25">
      <c r="B35" s="48"/>
      <c r="C35" s="48"/>
    </row>
    <row r="36" spans="2:11" x14ac:dyDescent="0.25">
      <c r="B36" s="48"/>
      <c r="C36" s="48"/>
    </row>
    <row r="37" spans="2:11" x14ac:dyDescent="0.25">
      <c r="B37" s="48"/>
      <c r="C37" s="48"/>
    </row>
    <row r="38" spans="2:11" x14ac:dyDescent="0.25">
      <c r="B38" s="48"/>
      <c r="C38" s="48"/>
    </row>
    <row r="39" spans="2:11" x14ac:dyDescent="0.25">
      <c r="B39" s="48"/>
      <c r="C39" s="48"/>
    </row>
    <row r="40" spans="2:11" x14ac:dyDescent="0.25">
      <c r="B40" s="48"/>
      <c r="C40" s="48"/>
    </row>
    <row r="41" spans="2:11" s="51" customFormat="1" x14ac:dyDescent="0.25">
      <c r="B41" s="48"/>
      <c r="C41" s="48"/>
      <c r="D41" s="13"/>
      <c r="E41" s="13"/>
      <c r="F41" s="13"/>
      <c r="G41" s="13"/>
      <c r="H41" s="13"/>
      <c r="I41" s="13"/>
      <c r="J41" s="13"/>
      <c r="K41" s="13"/>
    </row>
  </sheetData>
  <mergeCells count="6">
    <mergeCell ref="K4:K5"/>
    <mergeCell ref="B4:B5"/>
    <mergeCell ref="C4:C5"/>
    <mergeCell ref="D4:D5"/>
    <mergeCell ref="E4:E5"/>
    <mergeCell ref="F4:F5"/>
  </mergeCells>
  <conditionalFormatting sqref="G25:J32 G24 H8:J13 D15:K22">
    <cfRule type="expression" dxfId="178" priority="260">
      <formula>$D8="NonPrisEnCompte"</formula>
    </cfRule>
  </conditionalFormatting>
  <conditionalFormatting sqref="G14:J14">
    <cfRule type="expression" dxfId="177" priority="225">
      <formula>$D14="NonPrisEnCompte"</formula>
    </cfRule>
  </conditionalFormatting>
  <conditionalFormatting sqref="G9:J13">
    <cfRule type="expression" dxfId="176" priority="256">
      <formula>$D9="NonPrisEnCompte"</formula>
    </cfRule>
  </conditionalFormatting>
  <conditionalFormatting sqref="G7:J7">
    <cfRule type="expression" dxfId="175" priority="233">
      <formula>$D7="NonPrisEnCompte"</formula>
    </cfRule>
  </conditionalFormatting>
  <conditionalFormatting sqref="G7:J7">
    <cfRule type="expression" dxfId="174" priority="232">
      <formula>$D7="NonPrisEnCompte"</formula>
    </cfRule>
  </conditionalFormatting>
  <conditionalFormatting sqref="G23:J23">
    <cfRule type="expression" dxfId="173" priority="221">
      <formula>$D23="NonPrisEnCompte"</formula>
    </cfRule>
  </conditionalFormatting>
  <conditionalFormatting sqref="G23:J23">
    <cfRule type="expression" dxfId="172" priority="220">
      <formula>$D23="NonPrisEnCompte"</formula>
    </cfRule>
  </conditionalFormatting>
  <conditionalFormatting sqref="G14:J14">
    <cfRule type="expression" dxfId="171" priority="224">
      <formula>$D14="NonPrisEnCompte"</formula>
    </cfRule>
  </conditionalFormatting>
  <conditionalFormatting sqref="G8:G13">
    <cfRule type="expression" dxfId="170" priority="165">
      <formula>#REF!="NonPrisEnCompte"</formula>
    </cfRule>
  </conditionalFormatting>
  <conditionalFormatting sqref="G15:G22">
    <cfRule type="expression" dxfId="169" priority="164">
      <formula>#REF!="NonPrisEnCompte"</formula>
    </cfRule>
  </conditionalFormatting>
  <conditionalFormatting sqref="G24:G32">
    <cfRule type="expression" dxfId="168" priority="163">
      <formula>#REF!="NonPrisEnCompte"</formula>
    </cfRule>
  </conditionalFormatting>
  <conditionalFormatting sqref="G6:J6">
    <cfRule type="expression" dxfId="167" priority="61">
      <formula>$D6="NonPrisEnCompte"</formula>
    </cfRule>
  </conditionalFormatting>
  <conditionalFormatting sqref="G6:J6">
    <cfRule type="expression" dxfId="166" priority="60">
      <formula>$D6="NonPrisEnCompte"</formula>
    </cfRule>
  </conditionalFormatting>
  <conditionalFormatting sqref="E23">
    <cfRule type="expression" dxfId="165" priority="26">
      <formula>$D23="NonPrisEnCompte"</formula>
    </cfRule>
  </conditionalFormatting>
  <conditionalFormatting sqref="E23">
    <cfRule type="expression" dxfId="164" priority="25">
      <formula>$D23="NonPrisEnCompte"</formula>
    </cfRule>
  </conditionalFormatting>
  <conditionalFormatting sqref="D6">
    <cfRule type="expression" dxfId="163" priority="35">
      <formula>$D6="NonPrisEnCompte"</formula>
    </cfRule>
  </conditionalFormatting>
  <conditionalFormatting sqref="D6">
    <cfRule type="expression" dxfId="162" priority="34">
      <formula>$D6="NonPrisEnCompte"</formula>
    </cfRule>
  </conditionalFormatting>
  <conditionalFormatting sqref="H24:J24">
    <cfRule type="expression" dxfId="161" priority="53">
      <formula>$D24="NonPrisEnCompte"</formula>
    </cfRule>
  </conditionalFormatting>
  <conditionalFormatting sqref="D8:D13">
    <cfRule type="expression" dxfId="160" priority="49">
      <formula>$D8="NonPrisEnCompte"</formula>
    </cfRule>
  </conditionalFormatting>
  <conditionalFormatting sqref="D24:D32">
    <cfRule type="expression" dxfId="159" priority="47">
      <formula>$D24="NonPrisEnCompte"</formula>
    </cfRule>
  </conditionalFormatting>
  <conditionalFormatting sqref="D14">
    <cfRule type="expression" dxfId="158" priority="39">
      <formula>$D14="NonPrisEnCompte"</formula>
    </cfRule>
  </conditionalFormatting>
  <conditionalFormatting sqref="D14">
    <cfRule type="expression" dxfId="157" priority="38">
      <formula>$D14="NonPrisEnCompte"</formula>
    </cfRule>
  </conditionalFormatting>
  <conditionalFormatting sqref="D7">
    <cfRule type="expression" dxfId="156" priority="41">
      <formula>$D7="NonPrisEnCompte"</formula>
    </cfRule>
  </conditionalFormatting>
  <conditionalFormatting sqref="D7">
    <cfRule type="expression" dxfId="155" priority="40">
      <formula>$D7="NonPrisEnCompte"</formula>
    </cfRule>
  </conditionalFormatting>
  <conditionalFormatting sqref="D23">
    <cfRule type="expression" dxfId="154" priority="37">
      <formula>$D23="NonPrisEnCompte"</formula>
    </cfRule>
  </conditionalFormatting>
  <conditionalFormatting sqref="D23">
    <cfRule type="expression" dxfId="153" priority="36">
      <formula>$D23="NonPrisEnCompte"</formula>
    </cfRule>
  </conditionalFormatting>
  <conditionalFormatting sqref="E8:E13">
    <cfRule type="expression" dxfId="152" priority="33">
      <formula>$D8="NonPrisEnCompte"</formula>
    </cfRule>
  </conditionalFormatting>
  <conditionalFormatting sqref="E24:E32">
    <cfRule type="expression" dxfId="151" priority="31">
      <formula>$D24="NonPrisEnCompte"</formula>
    </cfRule>
  </conditionalFormatting>
  <conditionalFormatting sqref="E14">
    <cfRule type="expression" dxfId="150" priority="28">
      <formula>$D14="NonPrisEnCompte"</formula>
    </cfRule>
  </conditionalFormatting>
  <conditionalFormatting sqref="E14">
    <cfRule type="expression" dxfId="149" priority="27">
      <formula>$D14="NonPrisEnCompte"</formula>
    </cfRule>
  </conditionalFormatting>
  <conditionalFormatting sqref="E7">
    <cfRule type="expression" dxfId="148" priority="30">
      <formula>$D7="NonPrisEnCompte"</formula>
    </cfRule>
  </conditionalFormatting>
  <conditionalFormatting sqref="E7">
    <cfRule type="expression" dxfId="147" priority="29">
      <formula>$D7="NonPrisEnCompte"</formula>
    </cfRule>
  </conditionalFormatting>
  <conditionalFormatting sqref="E6">
    <cfRule type="expression" dxfId="146" priority="24">
      <formula>$D6="NonPrisEnCompte"</formula>
    </cfRule>
  </conditionalFormatting>
  <conditionalFormatting sqref="E6">
    <cfRule type="expression" dxfId="145" priority="23">
      <formula>$D6="NonPrisEnCompte"</formula>
    </cfRule>
  </conditionalFormatting>
  <conditionalFormatting sqref="F8:F13">
    <cfRule type="expression" dxfId="144" priority="22">
      <formula>$D8="NonPrisEnCompte"</formula>
    </cfRule>
  </conditionalFormatting>
  <conditionalFormatting sqref="F24:F32">
    <cfRule type="expression" dxfId="143" priority="20">
      <formula>$D24="NonPrisEnCompte"</formula>
    </cfRule>
  </conditionalFormatting>
  <conditionalFormatting sqref="F14">
    <cfRule type="expression" dxfId="142" priority="17">
      <formula>$D14="NonPrisEnCompte"</formula>
    </cfRule>
  </conditionalFormatting>
  <conditionalFormatting sqref="F14">
    <cfRule type="expression" dxfId="141" priority="16">
      <formula>$D14="NonPrisEnCompte"</formula>
    </cfRule>
  </conditionalFormatting>
  <conditionalFormatting sqref="F7">
    <cfRule type="expression" dxfId="140" priority="19">
      <formula>$D7="NonPrisEnCompte"</formula>
    </cfRule>
  </conditionalFormatting>
  <conditionalFormatting sqref="F7">
    <cfRule type="expression" dxfId="139" priority="18">
      <formula>$D7="NonPrisEnCompte"</formula>
    </cfRule>
  </conditionalFormatting>
  <conditionalFormatting sqref="F23">
    <cfRule type="expression" dxfId="138" priority="15">
      <formula>$D23="NonPrisEnCompte"</formula>
    </cfRule>
  </conditionalFormatting>
  <conditionalFormatting sqref="F23">
    <cfRule type="expression" dxfId="137" priority="14">
      <formula>$D23="NonPrisEnCompte"</formula>
    </cfRule>
  </conditionalFormatting>
  <conditionalFormatting sqref="F6">
    <cfRule type="expression" dxfId="136" priority="13">
      <formula>$D6="NonPrisEnCompte"</formula>
    </cfRule>
  </conditionalFormatting>
  <conditionalFormatting sqref="F6">
    <cfRule type="expression" dxfId="135" priority="12">
      <formula>$D6="NonPrisEnCompte"</formula>
    </cfRule>
  </conditionalFormatting>
  <conditionalFormatting sqref="K8:K13">
    <cfRule type="expression" dxfId="134" priority="11">
      <formula>$D8="NonPrisEnCompte"</formula>
    </cfRule>
  </conditionalFormatting>
  <conditionalFormatting sqref="K24:K32">
    <cfRule type="expression" dxfId="133" priority="9">
      <formula>$D24="NonPrisEnCompte"</formula>
    </cfRule>
  </conditionalFormatting>
  <conditionalFormatting sqref="K14">
    <cfRule type="expression" dxfId="132" priority="6">
      <formula>$D14="NonPrisEnCompte"</formula>
    </cfRule>
  </conditionalFormatting>
  <conditionalFormatting sqref="K14">
    <cfRule type="expression" dxfId="131" priority="5">
      <formula>$D14="NonPrisEnCompte"</formula>
    </cfRule>
  </conditionalFormatting>
  <conditionalFormatting sqref="K7">
    <cfRule type="expression" dxfId="130" priority="8">
      <formula>$D7="NonPrisEnCompte"</formula>
    </cfRule>
  </conditionalFormatting>
  <conditionalFormatting sqref="K7">
    <cfRule type="expression" dxfId="129" priority="7">
      <formula>$D7="NonPrisEnCompte"</formula>
    </cfRule>
  </conditionalFormatting>
  <conditionalFormatting sqref="K23">
    <cfRule type="expression" dxfId="128" priority="4">
      <formula>$D23="NonPrisEnCompte"</formula>
    </cfRule>
  </conditionalFormatting>
  <conditionalFormatting sqref="K23">
    <cfRule type="expression" dxfId="127" priority="3">
      <formula>$D23="NonPrisEnCompte"</formula>
    </cfRule>
  </conditionalFormatting>
  <conditionalFormatting sqref="K6">
    <cfRule type="expression" dxfId="126" priority="2">
      <formula>$D6="NonPrisEnCompte"</formula>
    </cfRule>
  </conditionalFormatting>
  <conditionalFormatting sqref="K6">
    <cfRule type="expression" dxfId="125" priority="1">
      <formula>$D6="NonPrisEnCompte"</formula>
    </cfRule>
  </conditionalFormatting>
  <pageMargins left="0.7" right="0.7" top="0.75" bottom="0.75" header="0.3" footer="0.3"/>
  <pageSetup paperSize="9" scale="46"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EDF668-149B-4BB9-B688-4D47237F3AE7}">
  <sheetPr>
    <pageSetUpPr fitToPage="1"/>
  </sheetPr>
  <dimension ref="A1:K151"/>
  <sheetViews>
    <sheetView showGridLines="0" zoomScale="85" zoomScaleNormal="85" workbookViewId="0">
      <pane xSplit="1" ySplit="4" topLeftCell="B5" activePane="bottomRight" state="frozen"/>
      <selection pane="topRight" activeCell="B1" sqref="B1"/>
      <selection pane="bottomLeft" activeCell="A6" sqref="A6"/>
      <selection pane="bottomRight" activeCell="F156" sqref="F156"/>
    </sheetView>
  </sheetViews>
  <sheetFormatPr baseColWidth="10" defaultColWidth="9.140625" defaultRowHeight="15" x14ac:dyDescent="0.25"/>
  <cols>
    <col min="1" max="1" width="1.7109375" customWidth="1"/>
    <col min="2" max="2" width="9.42578125" style="78" customWidth="1"/>
    <col min="3" max="3" width="8.42578125" style="78" customWidth="1"/>
    <col min="4" max="4" width="64" style="78" customWidth="1"/>
    <col min="5" max="5" width="20.42578125" style="78" customWidth="1"/>
    <col min="6" max="6" width="7.7109375" style="101" customWidth="1"/>
    <col min="7" max="8" width="7.42578125" style="101" customWidth="1"/>
  </cols>
  <sheetData>
    <row r="1" spans="1:9" ht="23.25" customHeight="1" x14ac:dyDescent="0.35">
      <c r="A1" s="98" t="s">
        <v>328</v>
      </c>
      <c r="D1"/>
      <c r="E1" s="101"/>
    </row>
    <row r="2" spans="1:9" ht="12.75" customHeight="1" x14ac:dyDescent="0.25">
      <c r="D2" s="102"/>
      <c r="E2" s="101"/>
    </row>
    <row r="3" spans="1:9" ht="12.75" customHeight="1" x14ac:dyDescent="0.25">
      <c r="D3" s="102"/>
    </row>
    <row r="4" spans="1:9" s="103" customFormat="1" ht="12.75" customHeight="1" x14ac:dyDescent="0.2">
      <c r="B4" s="104" t="s">
        <v>178</v>
      </c>
      <c r="C4" s="104" t="s">
        <v>327</v>
      </c>
      <c r="D4" s="104" t="s">
        <v>326</v>
      </c>
      <c r="E4" s="104" t="s">
        <v>324</v>
      </c>
      <c r="F4" s="104">
        <v>2023</v>
      </c>
      <c r="G4" s="104">
        <v>2024</v>
      </c>
      <c r="H4" s="104">
        <v>2025</v>
      </c>
    </row>
    <row r="5" spans="1:9" s="140" customFormat="1" ht="12.75" customHeight="1" x14ac:dyDescent="0.25">
      <c r="A5" s="137"/>
      <c r="B5" s="138" t="s">
        <v>389</v>
      </c>
      <c r="C5" s="138" t="s">
        <v>168</v>
      </c>
      <c r="D5" s="158" t="s">
        <v>174</v>
      </c>
      <c r="E5" s="138" t="s">
        <v>256</v>
      </c>
      <c r="F5" s="139">
        <v>-4160924506.7373743</v>
      </c>
      <c r="G5" s="139">
        <v>-371000000</v>
      </c>
      <c r="H5" s="139">
        <v>0</v>
      </c>
    </row>
    <row r="6" spans="1:9" s="140" customFormat="1" ht="12.75" customHeight="1" x14ac:dyDescent="0.25">
      <c r="A6" s="137"/>
      <c r="B6" s="138" t="s">
        <v>389</v>
      </c>
      <c r="C6" s="138" t="s">
        <v>168</v>
      </c>
      <c r="D6" s="158" t="s">
        <v>169</v>
      </c>
      <c r="E6" s="138" t="s">
        <v>256</v>
      </c>
      <c r="F6" s="139">
        <v>9894820763.4747486</v>
      </c>
      <c r="G6" s="139">
        <v>0</v>
      </c>
      <c r="H6" s="139">
        <v>0</v>
      </c>
    </row>
    <row r="7" spans="1:9" s="140" customFormat="1" ht="12.75" customHeight="1" x14ac:dyDescent="0.25">
      <c r="A7" s="137"/>
      <c r="B7" s="138" t="s">
        <v>390</v>
      </c>
      <c r="C7" s="138" t="s">
        <v>167</v>
      </c>
      <c r="D7" s="158" t="s">
        <v>170</v>
      </c>
      <c r="E7" s="138" t="s">
        <v>256</v>
      </c>
      <c r="F7" s="139">
        <v>-87157268.21173647</v>
      </c>
      <c r="G7" s="139">
        <v>-5581369.7740005469</v>
      </c>
      <c r="H7" s="139">
        <v>0</v>
      </c>
    </row>
    <row r="8" spans="1:9" s="140" customFormat="1" ht="12.75" customHeight="1" x14ac:dyDescent="0.25">
      <c r="A8" s="137"/>
      <c r="B8" s="138" t="s">
        <v>13</v>
      </c>
      <c r="C8" s="138" t="s">
        <v>173</v>
      </c>
      <c r="D8" s="162" t="s">
        <v>310</v>
      </c>
      <c r="E8" s="163" t="s">
        <v>256</v>
      </c>
      <c r="F8" s="164">
        <v>-10492000000</v>
      </c>
      <c r="G8" s="164">
        <v>0</v>
      </c>
      <c r="H8" s="164">
        <v>0</v>
      </c>
      <c r="I8" s="142"/>
    </row>
    <row r="9" spans="1:9" s="140" customFormat="1" ht="12.75" customHeight="1" x14ac:dyDescent="0.25">
      <c r="A9" s="137"/>
      <c r="B9" s="119"/>
      <c r="C9" s="119"/>
      <c r="D9" s="165" t="s">
        <v>409</v>
      </c>
      <c r="E9" s="166"/>
      <c r="F9" s="167">
        <f>SUM(F5:F8)</f>
        <v>-4845261011.4743624</v>
      </c>
      <c r="G9" s="167">
        <f>SUM(G5:G8)</f>
        <v>-376581369.77400053</v>
      </c>
      <c r="H9" s="167">
        <f>SUM(H5:H8)</f>
        <v>0</v>
      </c>
      <c r="I9" s="142"/>
    </row>
    <row r="10" spans="1:9" s="140" customFormat="1" ht="12.75" customHeight="1" x14ac:dyDescent="0.25">
      <c r="A10" s="137"/>
      <c r="B10" s="119"/>
      <c r="C10" s="119"/>
      <c r="D10" s="120"/>
      <c r="E10" s="119"/>
      <c r="F10" s="121"/>
      <c r="G10" s="121"/>
      <c r="H10" s="121"/>
      <c r="I10" s="142"/>
    </row>
    <row r="11" spans="1:9" s="140" customFormat="1" ht="12.75" customHeight="1" x14ac:dyDescent="0.25">
      <c r="A11" s="137"/>
      <c r="B11" s="138" t="s">
        <v>13</v>
      </c>
      <c r="C11" s="138" t="s">
        <v>173</v>
      </c>
      <c r="D11" s="158" t="s">
        <v>321</v>
      </c>
      <c r="E11" s="138" t="s">
        <v>268</v>
      </c>
      <c r="F11" s="139">
        <v>0</v>
      </c>
      <c r="G11" s="139">
        <v>-228000000</v>
      </c>
      <c r="H11" s="139">
        <v>0</v>
      </c>
    </row>
    <row r="12" spans="1:9" s="140" customFormat="1" ht="12.75" customHeight="1" x14ac:dyDescent="0.25">
      <c r="A12" s="137"/>
      <c r="B12" s="138" t="s">
        <v>13</v>
      </c>
      <c r="C12" s="138" t="s">
        <v>173</v>
      </c>
      <c r="D12" s="162" t="s">
        <v>323</v>
      </c>
      <c r="E12" s="163" t="s">
        <v>322</v>
      </c>
      <c r="F12" s="164">
        <v>-212000000</v>
      </c>
      <c r="G12" s="164">
        <v>0</v>
      </c>
      <c r="H12" s="164">
        <v>0</v>
      </c>
    </row>
    <row r="13" spans="1:9" s="140" customFormat="1" ht="12.75" customHeight="1" x14ac:dyDescent="0.25">
      <c r="A13" s="137"/>
      <c r="B13" s="119"/>
      <c r="C13" s="119"/>
      <c r="D13" s="165" t="s">
        <v>411</v>
      </c>
      <c r="E13" s="166"/>
      <c r="F13" s="167">
        <f>SUM(F11:F12)</f>
        <v>-212000000</v>
      </c>
      <c r="G13" s="167">
        <f>SUM(G11:G12)</f>
        <v>-228000000</v>
      </c>
      <c r="H13" s="167">
        <f>SUM(H11:H12)</f>
        <v>0</v>
      </c>
      <c r="I13" s="142"/>
    </row>
    <row r="14" spans="1:9" s="140" customFormat="1" ht="12.75" customHeight="1" x14ac:dyDescent="0.25">
      <c r="A14" s="137"/>
      <c r="B14" s="119"/>
      <c r="C14" s="119"/>
      <c r="D14" s="120"/>
      <c r="E14" s="119"/>
      <c r="F14" s="121"/>
      <c r="G14" s="121"/>
      <c r="H14" s="121"/>
      <c r="I14" s="142"/>
    </row>
    <row r="15" spans="1:9" s="140" customFormat="1" ht="12.75" customHeight="1" x14ac:dyDescent="0.25">
      <c r="A15" s="137"/>
      <c r="B15" s="138" t="s">
        <v>30</v>
      </c>
      <c r="C15" s="138" t="s">
        <v>171</v>
      </c>
      <c r="D15" s="158" t="s">
        <v>357</v>
      </c>
      <c r="E15" s="138" t="s">
        <v>268</v>
      </c>
      <c r="F15" s="139">
        <v>0</v>
      </c>
      <c r="G15" s="139">
        <v>141723400.00000006</v>
      </c>
      <c r="H15" s="139">
        <v>141723399.99999994</v>
      </c>
    </row>
    <row r="16" spans="1:9" s="140" customFormat="1" ht="12.75" customHeight="1" x14ac:dyDescent="0.25">
      <c r="A16" s="137"/>
      <c r="B16" s="138" t="s">
        <v>30</v>
      </c>
      <c r="C16" s="138" t="s">
        <v>171</v>
      </c>
      <c r="D16" s="162" t="s">
        <v>358</v>
      </c>
      <c r="E16" s="163" t="s">
        <v>397</v>
      </c>
      <c r="F16" s="164">
        <v>0</v>
      </c>
      <c r="G16" s="164">
        <v>-286824979.99999994</v>
      </c>
      <c r="H16" s="164">
        <v>215028839.99999994</v>
      </c>
    </row>
    <row r="17" spans="1:9" s="140" customFormat="1" ht="12.75" customHeight="1" x14ac:dyDescent="0.25">
      <c r="A17" s="137"/>
      <c r="B17" s="119"/>
      <c r="C17" s="119"/>
      <c r="D17" s="165" t="s">
        <v>400</v>
      </c>
      <c r="E17" s="166"/>
      <c r="F17" s="167">
        <f>SUM(F15:F16)</f>
        <v>0</v>
      </c>
      <c r="G17" s="167">
        <f>SUM(G15:G16)</f>
        <v>-145101579.99999988</v>
      </c>
      <c r="H17" s="167">
        <f>SUM(H15:H16)</f>
        <v>356752239.99999988</v>
      </c>
    </row>
    <row r="18" spans="1:9" s="140" customFormat="1" ht="12.75" customHeight="1" x14ac:dyDescent="0.25">
      <c r="A18" s="137"/>
      <c r="B18" s="119"/>
      <c r="C18" s="119"/>
      <c r="D18" s="120"/>
      <c r="E18" s="119"/>
      <c r="F18" s="121"/>
      <c r="G18" s="121"/>
      <c r="H18" s="121"/>
    </row>
    <row r="19" spans="1:9" s="140" customFormat="1" ht="12.75" customHeight="1" x14ac:dyDescent="0.25">
      <c r="A19" s="137"/>
      <c r="B19" s="138" t="s">
        <v>2</v>
      </c>
      <c r="C19" s="138" t="s">
        <v>260</v>
      </c>
      <c r="D19" s="162" t="s">
        <v>276</v>
      </c>
      <c r="E19" s="163" t="s">
        <v>322</v>
      </c>
      <c r="F19" s="164">
        <v>-160000000</v>
      </c>
      <c r="G19" s="164">
        <v>80000000</v>
      </c>
      <c r="H19" s="164">
        <v>0</v>
      </c>
    </row>
    <row r="20" spans="1:9" s="140" customFormat="1" ht="12.75" customHeight="1" x14ac:dyDescent="0.25">
      <c r="A20" s="137"/>
      <c r="B20" s="119"/>
      <c r="C20" s="119"/>
      <c r="D20" s="165" t="s">
        <v>432</v>
      </c>
      <c r="E20" s="166"/>
      <c r="F20" s="167">
        <f>F19</f>
        <v>-160000000</v>
      </c>
      <c r="G20" s="167">
        <f t="shared" ref="G20" si="0">G19</f>
        <v>80000000</v>
      </c>
      <c r="H20" s="167">
        <f t="shared" ref="H20" si="1">H19</f>
        <v>0</v>
      </c>
    </row>
    <row r="21" spans="1:9" s="140" customFormat="1" ht="12.75" customHeight="1" x14ac:dyDescent="0.25">
      <c r="A21" s="137"/>
      <c r="B21" s="119"/>
      <c r="C21" s="119"/>
      <c r="D21" s="120"/>
      <c r="E21" s="119"/>
      <c r="F21" s="121"/>
      <c r="G21" s="121"/>
      <c r="H21" s="121"/>
    </row>
    <row r="22" spans="1:9" s="140" customFormat="1" ht="12.75" customHeight="1" x14ac:dyDescent="0.25">
      <c r="A22" s="137"/>
      <c r="B22" s="138" t="s">
        <v>18</v>
      </c>
      <c r="C22" s="138" t="s">
        <v>177</v>
      </c>
      <c r="D22" s="158" t="s">
        <v>359</v>
      </c>
      <c r="E22" s="138" t="s">
        <v>268</v>
      </c>
      <c r="F22" s="139">
        <v>-4418999.9999999963</v>
      </c>
      <c r="G22" s="139">
        <v>-48000000</v>
      </c>
      <c r="H22" s="139">
        <v>-74000000</v>
      </c>
      <c r="I22" s="142"/>
    </row>
    <row r="23" spans="1:9" s="140" customFormat="1" ht="12.75" customHeight="1" x14ac:dyDescent="0.25">
      <c r="A23" s="137"/>
      <c r="B23" s="138" t="s">
        <v>18</v>
      </c>
      <c r="C23" s="138" t="s">
        <v>177</v>
      </c>
      <c r="D23" s="158" t="s">
        <v>360</v>
      </c>
      <c r="E23" s="138" t="s">
        <v>268</v>
      </c>
      <c r="F23" s="139">
        <v>140659509.99999997</v>
      </c>
      <c r="G23" s="139">
        <v>27000000</v>
      </c>
      <c r="H23" s="139">
        <v>2000000</v>
      </c>
    </row>
    <row r="24" spans="1:9" s="140" customFormat="1" ht="12.75" customHeight="1" x14ac:dyDescent="0.25">
      <c r="A24" s="137"/>
      <c r="B24" s="119"/>
      <c r="C24" s="119"/>
      <c r="D24" s="165" t="s">
        <v>401</v>
      </c>
      <c r="E24" s="166"/>
      <c r="F24" s="167">
        <f>SUM(F22:F23)</f>
        <v>136240509.99999997</v>
      </c>
      <c r="G24" s="167">
        <f t="shared" ref="G24:H24" si="2">SUM(G22:G23)</f>
        <v>-21000000</v>
      </c>
      <c r="H24" s="167">
        <f t="shared" si="2"/>
        <v>-72000000</v>
      </c>
    </row>
    <row r="25" spans="1:9" s="140" customFormat="1" ht="12.75" customHeight="1" x14ac:dyDescent="0.25">
      <c r="A25" s="137"/>
      <c r="B25" s="119"/>
      <c r="C25" s="119"/>
      <c r="D25" s="120"/>
      <c r="E25" s="119"/>
      <c r="F25" s="121"/>
      <c r="G25" s="121"/>
      <c r="H25" s="121"/>
    </row>
    <row r="26" spans="1:9" s="140" customFormat="1" ht="12.75" customHeight="1" x14ac:dyDescent="0.25">
      <c r="A26" s="137"/>
      <c r="B26" s="138" t="s">
        <v>2</v>
      </c>
      <c r="C26" s="138" t="s">
        <v>260</v>
      </c>
      <c r="D26" s="158" t="s">
        <v>361</v>
      </c>
      <c r="E26" s="138" t="s">
        <v>268</v>
      </c>
      <c r="F26" s="139">
        <v>0</v>
      </c>
      <c r="G26" s="139">
        <v>-90000000</v>
      </c>
      <c r="H26" s="139">
        <v>0</v>
      </c>
    </row>
    <row r="27" spans="1:9" s="140" customFormat="1" ht="12.75" customHeight="1" x14ac:dyDescent="0.25">
      <c r="A27" s="137"/>
      <c r="B27" s="119"/>
      <c r="C27" s="119"/>
      <c r="D27" s="165" t="s">
        <v>402</v>
      </c>
      <c r="E27" s="166"/>
      <c r="F27" s="167">
        <f>SUM(F26:F26)</f>
        <v>0</v>
      </c>
      <c r="G27" s="167">
        <f>SUM(G26:G26)</f>
        <v>-90000000</v>
      </c>
      <c r="H27" s="167">
        <f>SUM(H26:H26)</f>
        <v>0</v>
      </c>
    </row>
    <row r="28" spans="1:9" s="140" customFormat="1" ht="12.75" customHeight="1" x14ac:dyDescent="0.25">
      <c r="A28" s="137"/>
      <c r="B28" s="119"/>
      <c r="C28" s="119"/>
      <c r="D28" s="120"/>
      <c r="E28" s="119"/>
      <c r="F28" s="121"/>
      <c r="G28" s="121"/>
      <c r="H28" s="121"/>
      <c r="I28" s="142"/>
    </row>
    <row r="29" spans="1:9" s="140" customFormat="1" ht="12.75" customHeight="1" x14ac:dyDescent="0.25">
      <c r="A29" s="137"/>
      <c r="B29" s="138" t="s">
        <v>2</v>
      </c>
      <c r="C29" s="138" t="s">
        <v>260</v>
      </c>
      <c r="D29" s="158" t="s">
        <v>298</v>
      </c>
      <c r="E29" s="138" t="s">
        <v>263</v>
      </c>
      <c r="F29" s="139">
        <v>-230634528.32079473</v>
      </c>
      <c r="G29" s="139">
        <v>-154714860.28190723</v>
      </c>
      <c r="H29" s="139">
        <v>-124185245.89126146</v>
      </c>
    </row>
    <row r="30" spans="1:9" s="140" customFormat="1" ht="12.75" customHeight="1" x14ac:dyDescent="0.25">
      <c r="A30" s="137"/>
      <c r="B30" s="119"/>
      <c r="C30" s="119"/>
      <c r="D30" s="165" t="s">
        <v>403</v>
      </c>
      <c r="E30" s="166"/>
      <c r="F30" s="167">
        <f>SUM(F29:F29)</f>
        <v>-230634528.32079473</v>
      </c>
      <c r="G30" s="167">
        <f>SUM(G29:G29)</f>
        <v>-154714860.28190723</v>
      </c>
      <c r="H30" s="167">
        <f>SUM(H29:H29)</f>
        <v>-124185245.89126146</v>
      </c>
    </row>
    <row r="31" spans="1:9" s="140" customFormat="1" ht="12.75" customHeight="1" x14ac:dyDescent="0.25">
      <c r="A31" s="137"/>
      <c r="B31" s="119"/>
      <c r="C31" s="119"/>
      <c r="D31" s="120"/>
      <c r="E31" s="119"/>
      <c r="F31" s="121"/>
      <c r="G31" s="121"/>
      <c r="H31" s="121"/>
    </row>
    <row r="32" spans="1:9" s="140" customFormat="1" ht="12.75" customHeight="1" x14ac:dyDescent="0.25">
      <c r="A32" s="137"/>
      <c r="B32" s="138" t="s">
        <v>18</v>
      </c>
      <c r="C32" s="138">
        <v>1301</v>
      </c>
      <c r="D32" s="158" t="s">
        <v>297</v>
      </c>
      <c r="E32" s="138" t="s">
        <v>259</v>
      </c>
      <c r="F32" s="139">
        <v>126596411.50442269</v>
      </c>
      <c r="G32" s="139">
        <v>-126596411.50442269</v>
      </c>
      <c r="H32" s="139">
        <v>0</v>
      </c>
    </row>
    <row r="33" spans="1:9" s="140" customFormat="1" ht="12.75" customHeight="1" x14ac:dyDescent="0.25">
      <c r="A33" s="137"/>
      <c r="B33" s="119"/>
      <c r="C33" s="119"/>
      <c r="D33" s="165" t="s">
        <v>404</v>
      </c>
      <c r="E33" s="166"/>
      <c r="F33" s="167">
        <f>F32</f>
        <v>126596411.50442269</v>
      </c>
      <c r="G33" s="167">
        <f t="shared" ref="G33" si="3">G32</f>
        <v>-126596411.50442269</v>
      </c>
      <c r="H33" s="167">
        <f t="shared" ref="H33" si="4">H32</f>
        <v>0</v>
      </c>
    </row>
    <row r="34" spans="1:9" s="140" customFormat="1" ht="12.75" customHeight="1" x14ac:dyDescent="0.25">
      <c r="A34" s="137"/>
      <c r="B34" s="119"/>
      <c r="C34" s="119"/>
      <c r="D34" s="120"/>
      <c r="E34" s="119"/>
      <c r="F34" s="121"/>
      <c r="G34" s="121"/>
      <c r="H34" s="121"/>
    </row>
    <row r="35" spans="1:9" s="140" customFormat="1" ht="12.75" customHeight="1" x14ac:dyDescent="0.25">
      <c r="A35" s="137"/>
      <c r="B35" s="138" t="s">
        <v>390</v>
      </c>
      <c r="C35" s="138" t="s">
        <v>391</v>
      </c>
      <c r="D35" s="158" t="s">
        <v>417</v>
      </c>
      <c r="E35" s="138" t="s">
        <v>268</v>
      </c>
      <c r="F35" s="139">
        <v>0</v>
      </c>
      <c r="G35" s="139">
        <v>200000000</v>
      </c>
      <c r="H35" s="139">
        <v>300000000</v>
      </c>
    </row>
    <row r="36" spans="1:9" s="140" customFormat="1" ht="12.75" customHeight="1" x14ac:dyDescent="0.25">
      <c r="A36" s="137"/>
      <c r="B36" s="119"/>
      <c r="C36" s="119"/>
      <c r="D36" s="165" t="s">
        <v>405</v>
      </c>
      <c r="E36" s="166"/>
      <c r="F36" s="167">
        <f>F35</f>
        <v>0</v>
      </c>
      <c r="G36" s="167">
        <f t="shared" ref="G36" si="5">G35</f>
        <v>200000000</v>
      </c>
      <c r="H36" s="167">
        <f t="shared" ref="H36" si="6">H35</f>
        <v>300000000</v>
      </c>
    </row>
    <row r="37" spans="1:9" s="140" customFormat="1" ht="12.75" customHeight="1" x14ac:dyDescent="0.25">
      <c r="A37" s="137"/>
      <c r="B37" s="119"/>
      <c r="C37" s="119"/>
      <c r="D37" s="120"/>
      <c r="E37" s="119"/>
      <c r="F37" s="121"/>
      <c r="G37" s="121"/>
      <c r="H37" s="121"/>
    </row>
    <row r="38" spans="1:9" s="140" customFormat="1" ht="12.75" customHeight="1" x14ac:dyDescent="0.25">
      <c r="A38" s="137"/>
      <c r="B38" s="138" t="s">
        <v>389</v>
      </c>
      <c r="C38" s="138" t="s">
        <v>168</v>
      </c>
      <c r="D38" s="158" t="s">
        <v>309</v>
      </c>
      <c r="E38" s="138" t="s">
        <v>268</v>
      </c>
      <c r="F38" s="139">
        <v>0</v>
      </c>
      <c r="G38" s="139">
        <v>-1110000000</v>
      </c>
      <c r="H38" s="139">
        <v>-1286097580.276161</v>
      </c>
    </row>
    <row r="39" spans="1:9" s="140" customFormat="1" ht="12.75" customHeight="1" x14ac:dyDescent="0.25">
      <c r="A39" s="137"/>
      <c r="B39" s="138" t="s">
        <v>389</v>
      </c>
      <c r="C39" s="138" t="s">
        <v>168</v>
      </c>
      <c r="D39" s="158" t="s">
        <v>352</v>
      </c>
      <c r="E39" s="138" t="s">
        <v>396</v>
      </c>
      <c r="F39" s="139">
        <v>0</v>
      </c>
      <c r="G39" s="139">
        <v>0</v>
      </c>
      <c r="H39" s="139">
        <v>1103846753.3934126</v>
      </c>
    </row>
    <row r="40" spans="1:9" s="140" customFormat="1" ht="12.75" customHeight="1" x14ac:dyDescent="0.25">
      <c r="A40" s="137"/>
      <c r="B40" s="138" t="s">
        <v>18</v>
      </c>
      <c r="C40" s="138" t="s">
        <v>177</v>
      </c>
      <c r="D40" s="158" t="s">
        <v>308</v>
      </c>
      <c r="E40" s="138" t="s">
        <v>268</v>
      </c>
      <c r="F40" s="139">
        <v>0</v>
      </c>
      <c r="G40" s="139">
        <v>155399999.99999997</v>
      </c>
      <c r="H40" s="139">
        <v>314004495.28253126</v>
      </c>
    </row>
    <row r="41" spans="1:9" s="140" customFormat="1" ht="12.75" customHeight="1" x14ac:dyDescent="0.25">
      <c r="A41" s="137"/>
      <c r="B41" s="138" t="s">
        <v>18</v>
      </c>
      <c r="C41" s="138" t="s">
        <v>177</v>
      </c>
      <c r="D41" s="168" t="s">
        <v>424</v>
      </c>
      <c r="E41" s="138" t="s">
        <v>396</v>
      </c>
      <c r="F41" s="139">
        <v>0</v>
      </c>
      <c r="G41" s="139">
        <v>0</v>
      </c>
      <c r="H41" s="139">
        <v>-110920985.37067604</v>
      </c>
    </row>
    <row r="42" spans="1:9" s="140" customFormat="1" ht="12.75" customHeight="1" x14ac:dyDescent="0.25">
      <c r="A42" s="137"/>
      <c r="B42" s="138" t="s">
        <v>18</v>
      </c>
      <c r="C42" s="138" t="s">
        <v>177</v>
      </c>
      <c r="D42" s="158" t="s">
        <v>175</v>
      </c>
      <c r="E42" s="138" t="s">
        <v>256</v>
      </c>
      <c r="F42" s="139">
        <v>594706988.06947303</v>
      </c>
      <c r="G42" s="139">
        <v>565708261.09958172</v>
      </c>
      <c r="H42" s="139">
        <v>-206909211.30158201</v>
      </c>
    </row>
    <row r="43" spans="1:9" s="140" customFormat="1" ht="12.75" customHeight="1" x14ac:dyDescent="0.25">
      <c r="A43" s="137"/>
      <c r="B43" s="119"/>
      <c r="C43" s="119"/>
      <c r="D43" s="165" t="s">
        <v>410</v>
      </c>
      <c r="E43" s="166"/>
      <c r="F43" s="167">
        <f>SUM(F38:F42)</f>
        <v>594706988.06947303</v>
      </c>
      <c r="G43" s="167">
        <f t="shared" ref="G43:H43" si="7">SUM(G38:G42)</f>
        <v>-388891738.90041828</v>
      </c>
      <c r="H43" s="167">
        <f t="shared" si="7"/>
        <v>-186076528.27247515</v>
      </c>
    </row>
    <row r="44" spans="1:9" s="140" customFormat="1" ht="12.75" customHeight="1" x14ac:dyDescent="0.25">
      <c r="A44" s="137"/>
      <c r="B44" s="119"/>
      <c r="C44" s="119"/>
      <c r="D44" s="120"/>
      <c r="E44" s="119"/>
      <c r="F44" s="121"/>
      <c r="G44" s="121"/>
      <c r="H44" s="121"/>
      <c r="I44" s="142"/>
    </row>
    <row r="45" spans="1:9" s="140" customFormat="1" ht="13.5" customHeight="1" x14ac:dyDescent="0.25">
      <c r="A45" s="137"/>
      <c r="B45" s="138" t="s">
        <v>30</v>
      </c>
      <c r="C45" s="138" t="s">
        <v>29</v>
      </c>
      <c r="D45" s="169" t="s">
        <v>362</v>
      </c>
      <c r="E45" s="138" t="s">
        <v>271</v>
      </c>
      <c r="F45" s="139">
        <v>186000000</v>
      </c>
      <c r="G45" s="139">
        <v>0</v>
      </c>
      <c r="H45" s="139">
        <v>0</v>
      </c>
    </row>
    <row r="46" spans="1:9" s="140" customFormat="1" ht="12.75" customHeight="1" x14ac:dyDescent="0.25">
      <c r="A46" s="137"/>
      <c r="B46" s="138" t="s">
        <v>390</v>
      </c>
      <c r="C46" s="138" t="s">
        <v>166</v>
      </c>
      <c r="D46" s="158" t="s">
        <v>363</v>
      </c>
      <c r="E46" s="138" t="s">
        <v>271</v>
      </c>
      <c r="F46" s="139">
        <v>-143000000</v>
      </c>
      <c r="G46" s="139">
        <v>0</v>
      </c>
      <c r="H46" s="139">
        <v>0</v>
      </c>
    </row>
    <row r="47" spans="1:9" s="140" customFormat="1" ht="12.75" customHeight="1" x14ac:dyDescent="0.25">
      <c r="A47" s="137"/>
      <c r="B47" s="138" t="s">
        <v>390</v>
      </c>
      <c r="C47" s="138" t="s">
        <v>166</v>
      </c>
      <c r="D47" s="158" t="s">
        <v>364</v>
      </c>
      <c r="E47" s="138" t="s">
        <v>261</v>
      </c>
      <c r="F47" s="139">
        <v>142900000</v>
      </c>
      <c r="G47" s="139">
        <v>0</v>
      </c>
      <c r="H47" s="139">
        <v>0</v>
      </c>
    </row>
    <row r="48" spans="1:9" s="140" customFormat="1" ht="12.75" customHeight="1" x14ac:dyDescent="0.25">
      <c r="A48" s="137"/>
      <c r="B48" s="138" t="s">
        <v>30</v>
      </c>
      <c r="C48" s="138" t="s">
        <v>29</v>
      </c>
      <c r="D48" s="158" t="s">
        <v>365</v>
      </c>
      <c r="E48" s="138" t="s">
        <v>261</v>
      </c>
      <c r="F48" s="139">
        <v>-185520000.00000003</v>
      </c>
      <c r="G48" s="139">
        <v>0</v>
      </c>
      <c r="H48" s="139">
        <v>0</v>
      </c>
    </row>
    <row r="49" spans="1:9" s="140" customFormat="1" ht="12.75" customHeight="1" x14ac:dyDescent="0.25">
      <c r="A49" s="137"/>
      <c r="B49" s="119"/>
      <c r="C49" s="119"/>
      <c r="D49" s="165" t="s">
        <v>406</v>
      </c>
      <c r="E49" s="166"/>
      <c r="F49" s="167">
        <f>SUM(F45:F48)</f>
        <v>379999.9999999702</v>
      </c>
      <c r="G49" s="167">
        <f>SUM(G45:G48)</f>
        <v>0</v>
      </c>
      <c r="H49" s="167">
        <f>SUM(H45:H48)</f>
        <v>0</v>
      </c>
    </row>
    <row r="50" spans="1:9" s="140" customFormat="1" ht="12.75" customHeight="1" x14ac:dyDescent="0.25">
      <c r="A50" s="137"/>
      <c r="B50" s="119"/>
      <c r="C50" s="119"/>
      <c r="D50" s="143"/>
      <c r="E50" s="144"/>
      <c r="F50" s="145"/>
      <c r="G50" s="145"/>
      <c r="H50" s="145"/>
    </row>
    <row r="51" spans="1:9" s="140" customFormat="1" ht="12.75" customHeight="1" x14ac:dyDescent="0.25">
      <c r="A51" s="137"/>
      <c r="B51" s="138" t="s">
        <v>390</v>
      </c>
      <c r="C51" s="138" t="s">
        <v>166</v>
      </c>
      <c r="D51" s="158" t="s">
        <v>315</v>
      </c>
      <c r="E51" s="138" t="s">
        <v>266</v>
      </c>
      <c r="F51" s="139">
        <v>0</v>
      </c>
      <c r="G51" s="139">
        <v>3490000000</v>
      </c>
      <c r="H51" s="139">
        <v>4315705882.3529396</v>
      </c>
    </row>
    <row r="52" spans="1:9" s="140" customFormat="1" ht="12.75" customHeight="1" x14ac:dyDescent="0.25">
      <c r="A52" s="137"/>
      <c r="B52" s="138" t="s">
        <v>390</v>
      </c>
      <c r="C52" s="138" t="s">
        <v>166</v>
      </c>
      <c r="D52" s="158" t="s">
        <v>176</v>
      </c>
      <c r="E52" s="138" t="s">
        <v>256</v>
      </c>
      <c r="F52" s="139">
        <v>-1131543727.8191414</v>
      </c>
      <c r="G52" s="139">
        <v>-291781715.97852075</v>
      </c>
      <c r="H52" s="139">
        <v>0</v>
      </c>
    </row>
    <row r="53" spans="1:9" s="140" customFormat="1" ht="12.75" customHeight="1" x14ac:dyDescent="0.25">
      <c r="A53" s="137"/>
      <c r="B53" s="138" t="s">
        <v>390</v>
      </c>
      <c r="C53" s="138" t="s">
        <v>24</v>
      </c>
      <c r="D53" s="158" t="s">
        <v>318</v>
      </c>
      <c r="E53" s="138" t="s">
        <v>265</v>
      </c>
      <c r="F53" s="139">
        <v>-439000000</v>
      </c>
      <c r="G53" s="139">
        <v>1150000000.0000002</v>
      </c>
      <c r="H53" s="139">
        <v>0</v>
      </c>
    </row>
    <row r="54" spans="1:9" s="140" customFormat="1" ht="12.75" customHeight="1" x14ac:dyDescent="0.25">
      <c r="A54" s="137"/>
      <c r="B54" s="138" t="s">
        <v>390</v>
      </c>
      <c r="C54" s="138" t="s">
        <v>166</v>
      </c>
      <c r="D54" s="158" t="s">
        <v>319</v>
      </c>
      <c r="E54" s="138" t="s">
        <v>265</v>
      </c>
      <c r="F54" s="139">
        <v>-3187000000.0000005</v>
      </c>
      <c r="G54" s="139">
        <v>250000000</v>
      </c>
      <c r="H54" s="139">
        <v>0</v>
      </c>
    </row>
    <row r="55" spans="1:9" s="140" customFormat="1" ht="12.75" customHeight="1" x14ac:dyDescent="0.25">
      <c r="A55" s="137"/>
      <c r="B55" s="138" t="s">
        <v>390</v>
      </c>
      <c r="C55" s="138" t="s">
        <v>166</v>
      </c>
      <c r="D55" s="158" t="s">
        <v>311</v>
      </c>
      <c r="E55" s="138" t="s">
        <v>265</v>
      </c>
      <c r="F55" s="139">
        <v>742000000</v>
      </c>
      <c r="G55" s="139">
        <v>0</v>
      </c>
      <c r="H55" s="139">
        <v>0</v>
      </c>
    </row>
    <row r="56" spans="1:9" s="140" customFormat="1" ht="12.75" customHeight="1" x14ac:dyDescent="0.25">
      <c r="A56" s="137"/>
      <c r="B56" s="138" t="s">
        <v>390</v>
      </c>
      <c r="C56" s="138" t="s">
        <v>166</v>
      </c>
      <c r="D56" s="158" t="s">
        <v>312</v>
      </c>
      <c r="E56" s="138" t="s">
        <v>263</v>
      </c>
      <c r="F56" s="139">
        <v>1497000000</v>
      </c>
      <c r="G56" s="139">
        <v>0</v>
      </c>
      <c r="H56" s="139">
        <v>0</v>
      </c>
      <c r="I56" s="142"/>
    </row>
    <row r="57" spans="1:9" s="140" customFormat="1" ht="12.75" customHeight="1" x14ac:dyDescent="0.25">
      <c r="A57" s="137"/>
      <c r="B57" s="138" t="s">
        <v>390</v>
      </c>
      <c r="C57" s="138" t="s">
        <v>166</v>
      </c>
      <c r="D57" s="158" t="s">
        <v>368</v>
      </c>
      <c r="E57" s="138" t="s">
        <v>0</v>
      </c>
      <c r="F57" s="139">
        <v>0</v>
      </c>
      <c r="G57" s="139">
        <v>-2404006240.6203027</v>
      </c>
      <c r="H57" s="139">
        <v>0</v>
      </c>
    </row>
    <row r="58" spans="1:9" s="140" customFormat="1" ht="12.75" customHeight="1" x14ac:dyDescent="0.25">
      <c r="A58" s="137"/>
      <c r="B58" s="138" t="s">
        <v>13</v>
      </c>
      <c r="C58" s="138" t="s">
        <v>173</v>
      </c>
      <c r="D58" s="158" t="s">
        <v>313</v>
      </c>
      <c r="E58" s="138" t="s">
        <v>266</v>
      </c>
      <c r="F58" s="139">
        <v>0</v>
      </c>
      <c r="G58" s="139">
        <v>460000000</v>
      </c>
      <c r="H58" s="139">
        <v>386500000</v>
      </c>
    </row>
    <row r="59" spans="1:9" s="140" customFormat="1" ht="12.75" customHeight="1" x14ac:dyDescent="0.25">
      <c r="A59" s="137"/>
      <c r="B59" s="138" t="s">
        <v>13</v>
      </c>
      <c r="C59" s="138" t="s">
        <v>173</v>
      </c>
      <c r="D59" s="158" t="s">
        <v>316</v>
      </c>
      <c r="E59" s="138" t="s">
        <v>265</v>
      </c>
      <c r="F59" s="139">
        <v>-243431855.50082102</v>
      </c>
      <c r="G59" s="139">
        <v>0</v>
      </c>
      <c r="H59" s="139">
        <v>0</v>
      </c>
      <c r="I59" s="142"/>
    </row>
    <row r="60" spans="1:9" s="140" customFormat="1" ht="12.75" customHeight="1" x14ac:dyDescent="0.25">
      <c r="A60" s="137"/>
      <c r="B60" s="138" t="s">
        <v>18</v>
      </c>
      <c r="C60" s="138" t="s">
        <v>177</v>
      </c>
      <c r="D60" s="158" t="s">
        <v>314</v>
      </c>
      <c r="E60" s="138" t="s">
        <v>266</v>
      </c>
      <c r="F60" s="139">
        <v>0</v>
      </c>
      <c r="G60" s="139">
        <v>-460000000</v>
      </c>
      <c r="H60" s="139">
        <v>-386500000</v>
      </c>
    </row>
    <row r="61" spans="1:9" s="140" customFormat="1" ht="12.75" customHeight="1" x14ac:dyDescent="0.25">
      <c r="A61" s="137"/>
      <c r="B61" s="138" t="s">
        <v>18</v>
      </c>
      <c r="C61" s="138" t="s">
        <v>177</v>
      </c>
      <c r="D61" s="158" t="s">
        <v>317</v>
      </c>
      <c r="E61" s="138" t="s">
        <v>265</v>
      </c>
      <c r="F61" s="139">
        <v>194745484.40065664</v>
      </c>
      <c r="G61" s="139">
        <v>0</v>
      </c>
      <c r="H61" s="139">
        <v>0</v>
      </c>
    </row>
    <row r="62" spans="1:9" s="140" customFormat="1" ht="12.75" customHeight="1" x14ac:dyDescent="0.25">
      <c r="A62" s="137"/>
      <c r="B62" s="119"/>
      <c r="C62" s="119"/>
      <c r="D62" s="165" t="s">
        <v>407</v>
      </c>
      <c r="E62" s="166"/>
      <c r="F62" s="167">
        <f>SUM(F51:F61)</f>
        <v>-2567230098.9193058</v>
      </c>
      <c r="G62" s="167">
        <f t="shared" ref="G62:H62" si="8">SUM(G51:G61)</f>
        <v>2194212043.4011769</v>
      </c>
      <c r="H62" s="167">
        <f t="shared" si="8"/>
        <v>4315705882.3529396</v>
      </c>
    </row>
    <row r="63" spans="1:9" s="140" customFormat="1" ht="12.75" customHeight="1" x14ac:dyDescent="0.25">
      <c r="A63" s="137"/>
      <c r="B63" s="119"/>
      <c r="C63" s="119"/>
      <c r="D63" s="120"/>
      <c r="E63" s="119"/>
      <c r="F63" s="121"/>
      <c r="G63" s="121"/>
      <c r="H63" s="121"/>
    </row>
    <row r="64" spans="1:9" s="140" customFormat="1" ht="12.75" customHeight="1" x14ac:dyDescent="0.25">
      <c r="A64" s="137"/>
      <c r="B64" s="138" t="s">
        <v>390</v>
      </c>
      <c r="C64" s="138" t="s">
        <v>285</v>
      </c>
      <c r="D64" s="158" t="s">
        <v>433</v>
      </c>
      <c r="E64" s="138" t="s">
        <v>257</v>
      </c>
      <c r="F64" s="139">
        <v>-2858000000</v>
      </c>
      <c r="G64" s="139">
        <v>0</v>
      </c>
      <c r="H64" s="139">
        <v>0</v>
      </c>
    </row>
    <row r="65" spans="1:9" s="140" customFormat="1" ht="12.75" customHeight="1" x14ac:dyDescent="0.25">
      <c r="A65" s="137"/>
      <c r="B65" s="138" t="s">
        <v>18</v>
      </c>
      <c r="C65" s="138" t="s">
        <v>177</v>
      </c>
      <c r="D65" s="158" t="s">
        <v>366</v>
      </c>
      <c r="E65" s="138" t="s">
        <v>268</v>
      </c>
      <c r="F65" s="139">
        <v>0</v>
      </c>
      <c r="G65" s="139">
        <v>-114000000</v>
      </c>
      <c r="H65" s="139">
        <v>0</v>
      </c>
    </row>
    <row r="66" spans="1:9" s="140" customFormat="1" ht="12.75" customHeight="1" x14ac:dyDescent="0.25">
      <c r="A66" s="137"/>
      <c r="B66" s="138" t="s">
        <v>2</v>
      </c>
      <c r="C66" s="138" t="s">
        <v>260</v>
      </c>
      <c r="D66" s="158" t="s">
        <v>288</v>
      </c>
      <c r="E66" s="138" t="s">
        <v>287</v>
      </c>
      <c r="F66" s="139">
        <v>34000000</v>
      </c>
      <c r="G66" s="139">
        <v>120000000</v>
      </c>
      <c r="H66" s="139">
        <v>106000000</v>
      </c>
    </row>
    <row r="67" spans="1:9" s="140" customFormat="1" ht="12.75" customHeight="1" x14ac:dyDescent="0.25">
      <c r="A67" s="137"/>
      <c r="B67" s="138" t="s">
        <v>18</v>
      </c>
      <c r="C67" s="138" t="s">
        <v>177</v>
      </c>
      <c r="D67" s="158" t="s">
        <v>307</v>
      </c>
      <c r="E67" s="138" t="s">
        <v>263</v>
      </c>
      <c r="F67" s="139">
        <v>-599000000</v>
      </c>
      <c r="G67" s="139">
        <v>-23000000</v>
      </c>
      <c r="H67" s="139">
        <v>0</v>
      </c>
    </row>
    <row r="68" spans="1:9" s="140" customFormat="1" ht="12.75" customHeight="1" x14ac:dyDescent="0.25">
      <c r="A68" s="137"/>
      <c r="B68" s="138" t="s">
        <v>2</v>
      </c>
      <c r="C68" s="138" t="s">
        <v>260</v>
      </c>
      <c r="D68" s="158" t="s">
        <v>281</v>
      </c>
      <c r="E68" s="138" t="s">
        <v>256</v>
      </c>
      <c r="F68" s="139">
        <v>0</v>
      </c>
      <c r="G68" s="139">
        <v>-80999999.999999985</v>
      </c>
      <c r="H68" s="139">
        <v>0</v>
      </c>
    </row>
    <row r="69" spans="1:9" s="140" customFormat="1" ht="12.75" customHeight="1" x14ac:dyDescent="0.25">
      <c r="A69" s="137"/>
      <c r="B69" s="138" t="s">
        <v>18</v>
      </c>
      <c r="C69" s="138" t="s">
        <v>177</v>
      </c>
      <c r="D69" s="158" t="s">
        <v>281</v>
      </c>
      <c r="E69" s="138" t="s">
        <v>256</v>
      </c>
      <c r="F69" s="139">
        <v>0</v>
      </c>
      <c r="G69" s="139">
        <v>-80999999.999999985</v>
      </c>
      <c r="H69" s="139">
        <v>0</v>
      </c>
      <c r="I69" s="142"/>
    </row>
    <row r="70" spans="1:9" s="140" customFormat="1" ht="12.75" customHeight="1" x14ac:dyDescent="0.25">
      <c r="A70" s="137"/>
      <c r="B70" s="138" t="s">
        <v>2</v>
      </c>
      <c r="C70" s="138" t="s">
        <v>260</v>
      </c>
      <c r="D70" s="158" t="s">
        <v>367</v>
      </c>
      <c r="E70" s="138" t="s">
        <v>256</v>
      </c>
      <c r="F70" s="139">
        <v>0</v>
      </c>
      <c r="G70" s="139">
        <v>-130000000</v>
      </c>
      <c r="H70" s="139">
        <v>130000000</v>
      </c>
    </row>
    <row r="71" spans="1:9" s="140" customFormat="1" ht="12.75" customHeight="1" x14ac:dyDescent="0.25">
      <c r="A71" s="137"/>
      <c r="B71" s="138" t="s">
        <v>18</v>
      </c>
      <c r="C71" s="138" t="s">
        <v>177</v>
      </c>
      <c r="D71" s="158" t="s">
        <v>367</v>
      </c>
      <c r="E71" s="138" t="s">
        <v>256</v>
      </c>
      <c r="F71" s="139">
        <v>0</v>
      </c>
      <c r="G71" s="139">
        <v>-130000000</v>
      </c>
      <c r="H71" s="139">
        <v>130000000</v>
      </c>
      <c r="I71" s="142"/>
    </row>
    <row r="72" spans="1:9" s="140" customFormat="1" ht="12.75" customHeight="1" x14ac:dyDescent="0.25">
      <c r="A72" s="137"/>
      <c r="B72" s="138" t="s">
        <v>18</v>
      </c>
      <c r="C72" s="138" t="s">
        <v>177</v>
      </c>
      <c r="D72" s="158" t="s">
        <v>305</v>
      </c>
      <c r="E72" s="138" t="s">
        <v>261</v>
      </c>
      <c r="F72" s="139">
        <v>111645767.25217046</v>
      </c>
      <c r="G72" s="139">
        <v>0</v>
      </c>
      <c r="H72" s="139">
        <v>0</v>
      </c>
    </row>
    <row r="73" spans="1:9" s="140" customFormat="1" ht="12.75" customHeight="1" x14ac:dyDescent="0.25">
      <c r="A73" s="137"/>
      <c r="B73" s="138" t="s">
        <v>18</v>
      </c>
      <c r="C73" s="138" t="s">
        <v>177</v>
      </c>
      <c r="D73" s="158" t="s">
        <v>306</v>
      </c>
      <c r="E73" s="138" t="s">
        <v>261</v>
      </c>
      <c r="F73" s="139">
        <v>4288000000.0000005</v>
      </c>
      <c r="G73" s="139">
        <v>1002000000</v>
      </c>
      <c r="H73" s="139">
        <v>53000000</v>
      </c>
      <c r="I73" s="142"/>
    </row>
    <row r="74" spans="1:9" s="140" customFormat="1" ht="12.75" customHeight="1" x14ac:dyDescent="0.25">
      <c r="A74" s="137"/>
      <c r="B74" s="138" t="s">
        <v>2</v>
      </c>
      <c r="C74" s="138" t="s">
        <v>260</v>
      </c>
      <c r="D74" s="158" t="s">
        <v>301</v>
      </c>
      <c r="E74" s="138" t="s">
        <v>266</v>
      </c>
      <c r="F74" s="139">
        <v>-195000000</v>
      </c>
      <c r="G74" s="139">
        <v>-49000000</v>
      </c>
      <c r="H74" s="139">
        <v>98000000</v>
      </c>
    </row>
    <row r="75" spans="1:9" s="140" customFormat="1" ht="12.75" customHeight="1" x14ac:dyDescent="0.25">
      <c r="A75" s="137"/>
      <c r="B75" s="138" t="s">
        <v>2</v>
      </c>
      <c r="C75" s="138" t="s">
        <v>260</v>
      </c>
      <c r="D75" s="158" t="s">
        <v>300</v>
      </c>
      <c r="E75" s="138" t="s">
        <v>299</v>
      </c>
      <c r="F75" s="139">
        <v>-90000000</v>
      </c>
      <c r="G75" s="139">
        <v>180000000</v>
      </c>
      <c r="H75" s="139">
        <v>0</v>
      </c>
    </row>
    <row r="76" spans="1:9" s="140" customFormat="1" ht="12.75" customHeight="1" x14ac:dyDescent="0.25">
      <c r="A76" s="137"/>
      <c r="B76" s="138" t="s">
        <v>18</v>
      </c>
      <c r="C76" s="138" t="s">
        <v>177</v>
      </c>
      <c r="D76" s="158" t="s">
        <v>302</v>
      </c>
      <c r="E76" s="138" t="s">
        <v>261</v>
      </c>
      <c r="F76" s="139">
        <v>-334000000</v>
      </c>
      <c r="G76" s="139">
        <v>0</v>
      </c>
      <c r="H76" s="139">
        <v>0</v>
      </c>
    </row>
    <row r="77" spans="1:9" s="140" customFormat="1" ht="12.75" customHeight="1" x14ac:dyDescent="0.25">
      <c r="A77" s="137"/>
      <c r="B77" s="138" t="s">
        <v>30</v>
      </c>
      <c r="C77" s="138" t="s">
        <v>171</v>
      </c>
      <c r="D77" s="158" t="s">
        <v>369</v>
      </c>
      <c r="E77" s="138" t="s">
        <v>268</v>
      </c>
      <c r="F77" s="139">
        <v>0</v>
      </c>
      <c r="G77" s="139">
        <v>-733000000</v>
      </c>
      <c r="H77" s="139">
        <v>0</v>
      </c>
    </row>
    <row r="78" spans="1:9" s="140" customFormat="1" ht="12.75" customHeight="1" x14ac:dyDescent="0.25">
      <c r="A78" s="137"/>
      <c r="B78" s="138" t="s">
        <v>108</v>
      </c>
      <c r="C78" s="138" t="s">
        <v>166</v>
      </c>
      <c r="D78" s="158" t="s">
        <v>370</v>
      </c>
      <c r="E78" s="138" t="s">
        <v>268</v>
      </c>
      <c r="F78" s="139">
        <v>0</v>
      </c>
      <c r="G78" s="139">
        <v>0</v>
      </c>
      <c r="H78" s="139">
        <v>200000000</v>
      </c>
    </row>
    <row r="79" spans="1:9" s="140" customFormat="1" ht="12.75" customHeight="1" x14ac:dyDescent="0.25">
      <c r="A79" s="137"/>
      <c r="B79" s="138" t="s">
        <v>390</v>
      </c>
      <c r="C79" s="138" t="s">
        <v>166</v>
      </c>
      <c r="D79" s="158" t="s">
        <v>371</v>
      </c>
      <c r="E79" s="138" t="s">
        <v>268</v>
      </c>
      <c r="F79" s="139">
        <v>0</v>
      </c>
      <c r="G79" s="139">
        <v>1325000000</v>
      </c>
      <c r="H79" s="139">
        <v>485000000</v>
      </c>
    </row>
    <row r="80" spans="1:9" s="140" customFormat="1" ht="12.75" customHeight="1" x14ac:dyDescent="0.25">
      <c r="A80" s="137"/>
      <c r="B80" s="138" t="s">
        <v>18</v>
      </c>
      <c r="C80" s="138" t="s">
        <v>177</v>
      </c>
      <c r="D80" s="158" t="s">
        <v>304</v>
      </c>
      <c r="E80" s="138" t="s">
        <v>266</v>
      </c>
      <c r="F80" s="139">
        <v>0</v>
      </c>
      <c r="G80" s="139">
        <v>-180000000</v>
      </c>
      <c r="H80" s="139">
        <v>0</v>
      </c>
    </row>
    <row r="81" spans="1:9" s="140" customFormat="1" ht="12.75" customHeight="1" x14ac:dyDescent="0.25">
      <c r="A81" s="137"/>
      <c r="B81" s="138" t="s">
        <v>13</v>
      </c>
      <c r="C81" s="138" t="s">
        <v>173</v>
      </c>
      <c r="D81" s="158" t="s">
        <v>303</v>
      </c>
      <c r="E81" s="138" t="s">
        <v>266</v>
      </c>
      <c r="F81" s="139">
        <v>0</v>
      </c>
      <c r="G81" s="139">
        <v>180000000</v>
      </c>
      <c r="H81" s="139">
        <v>0</v>
      </c>
    </row>
    <row r="82" spans="1:9" s="140" customFormat="1" ht="12.75" customHeight="1" x14ac:dyDescent="0.25">
      <c r="A82" s="137"/>
      <c r="B82" s="138" t="s">
        <v>18</v>
      </c>
      <c r="C82" s="138" t="s">
        <v>177</v>
      </c>
      <c r="D82" s="158" t="s">
        <v>291</v>
      </c>
      <c r="E82" s="138" t="s">
        <v>268</v>
      </c>
      <c r="F82" s="139">
        <v>0</v>
      </c>
      <c r="G82" s="139">
        <v>0</v>
      </c>
      <c r="H82" s="139">
        <v>-305000000</v>
      </c>
    </row>
    <row r="83" spans="1:9" s="140" customFormat="1" ht="12.75" customHeight="1" x14ac:dyDescent="0.25">
      <c r="A83" s="137"/>
      <c r="B83" s="138" t="s">
        <v>13</v>
      </c>
      <c r="C83" s="138" t="s">
        <v>173</v>
      </c>
      <c r="D83" s="158" t="s">
        <v>434</v>
      </c>
      <c r="E83" s="138" t="s">
        <v>268</v>
      </c>
      <c r="F83" s="139">
        <v>0</v>
      </c>
      <c r="G83" s="139">
        <v>0</v>
      </c>
      <c r="H83" s="139">
        <v>4025228395</v>
      </c>
    </row>
    <row r="84" spans="1:9" s="140" customFormat="1" ht="12.75" customHeight="1" x14ac:dyDescent="0.25">
      <c r="A84" s="137"/>
      <c r="B84" s="138" t="s">
        <v>13</v>
      </c>
      <c r="C84" s="138" t="s">
        <v>173</v>
      </c>
      <c r="D84" s="158" t="s">
        <v>372</v>
      </c>
      <c r="E84" s="138" t="s">
        <v>268</v>
      </c>
      <c r="F84" s="139">
        <v>0</v>
      </c>
      <c r="G84" s="139">
        <v>-100000000</v>
      </c>
      <c r="H84" s="139">
        <v>-350000000</v>
      </c>
    </row>
    <row r="85" spans="1:9" s="140" customFormat="1" ht="12.75" customHeight="1" x14ac:dyDescent="0.25">
      <c r="A85" s="137"/>
      <c r="B85" s="138" t="s">
        <v>13</v>
      </c>
      <c r="C85" s="138" t="s">
        <v>173</v>
      </c>
      <c r="D85" s="158" t="s">
        <v>373</v>
      </c>
      <c r="E85" s="138" t="s">
        <v>268</v>
      </c>
      <c r="F85" s="139">
        <v>0</v>
      </c>
      <c r="G85" s="139">
        <v>100000000</v>
      </c>
      <c r="H85" s="139">
        <v>0</v>
      </c>
    </row>
    <row r="86" spans="1:9" s="140" customFormat="1" ht="12.75" customHeight="1" x14ac:dyDescent="0.25">
      <c r="A86" s="137"/>
      <c r="B86" s="138" t="s">
        <v>30</v>
      </c>
      <c r="C86" s="138" t="s">
        <v>171</v>
      </c>
      <c r="D86" s="158" t="s">
        <v>374</v>
      </c>
      <c r="E86" s="138" t="s">
        <v>268</v>
      </c>
      <c r="F86" s="139">
        <v>0</v>
      </c>
      <c r="G86" s="139">
        <v>-53436457</v>
      </c>
      <c r="H86" s="139">
        <v>0</v>
      </c>
      <c r="I86" s="142"/>
    </row>
    <row r="87" spans="1:9" s="140" customFormat="1" ht="12.75" customHeight="1" x14ac:dyDescent="0.25">
      <c r="A87" s="137"/>
      <c r="B87" s="138" t="s">
        <v>30</v>
      </c>
      <c r="C87" s="138" t="s">
        <v>171</v>
      </c>
      <c r="D87" s="158" t="s">
        <v>269</v>
      </c>
      <c r="E87" s="138" t="s">
        <v>268</v>
      </c>
      <c r="F87" s="139">
        <v>0</v>
      </c>
      <c r="G87" s="139">
        <v>-182000000</v>
      </c>
      <c r="H87" s="139">
        <v>0</v>
      </c>
    </row>
    <row r="88" spans="1:9" s="140" customFormat="1" ht="12.75" customHeight="1" x14ac:dyDescent="0.25">
      <c r="A88" s="137"/>
      <c r="B88" s="138" t="s">
        <v>13</v>
      </c>
      <c r="C88" s="138" t="s">
        <v>173</v>
      </c>
      <c r="D88" s="158" t="s">
        <v>267</v>
      </c>
      <c r="E88" s="138" t="s">
        <v>266</v>
      </c>
      <c r="F88" s="139">
        <v>2000000000</v>
      </c>
      <c r="G88" s="139">
        <v>600000000</v>
      </c>
      <c r="H88" s="139">
        <v>750000000</v>
      </c>
    </row>
    <row r="89" spans="1:9" s="140" customFormat="1" ht="12.75" customHeight="1" x14ac:dyDescent="0.25">
      <c r="A89" s="137"/>
      <c r="B89" s="138" t="s">
        <v>390</v>
      </c>
      <c r="C89" s="138" t="s">
        <v>392</v>
      </c>
      <c r="D89" s="158" t="s">
        <v>375</v>
      </c>
      <c r="E89" s="138" t="s">
        <v>256</v>
      </c>
      <c r="F89" s="139">
        <v>626000000</v>
      </c>
      <c r="G89" s="139">
        <v>527733333.33333308</v>
      </c>
      <c r="H89" s="139">
        <v>-1113733333.3333299</v>
      </c>
    </row>
    <row r="90" spans="1:9" s="140" customFormat="1" ht="12.75" customHeight="1" x14ac:dyDescent="0.25">
      <c r="A90" s="137"/>
      <c r="B90" s="138" t="s">
        <v>2</v>
      </c>
      <c r="C90" s="138" t="s">
        <v>260</v>
      </c>
      <c r="D90" s="158" t="s">
        <v>289</v>
      </c>
      <c r="E90" s="138" t="s">
        <v>256</v>
      </c>
      <c r="F90" s="139">
        <v>-133000000</v>
      </c>
      <c r="G90" s="139">
        <v>-34000000</v>
      </c>
      <c r="H90" s="139">
        <v>67000000.000000007</v>
      </c>
      <c r="I90" s="142"/>
    </row>
    <row r="91" spans="1:9" s="140" customFormat="1" ht="12.75" customHeight="1" x14ac:dyDescent="0.25">
      <c r="A91" s="137"/>
      <c r="B91" s="138" t="s">
        <v>2</v>
      </c>
      <c r="C91" s="138" t="s">
        <v>260</v>
      </c>
      <c r="D91" s="158" t="s">
        <v>277</v>
      </c>
      <c r="E91" s="138" t="s">
        <v>256</v>
      </c>
      <c r="F91" s="139">
        <v>-200000000</v>
      </c>
      <c r="G91" s="139">
        <v>0</v>
      </c>
      <c r="H91" s="139">
        <v>0</v>
      </c>
    </row>
    <row r="92" spans="1:9" s="140" customFormat="1" ht="12.75" customHeight="1" x14ac:dyDescent="0.25">
      <c r="A92" s="137"/>
      <c r="B92" s="138" t="s">
        <v>18</v>
      </c>
      <c r="C92" s="138" t="s">
        <v>177</v>
      </c>
      <c r="D92" s="158" t="s">
        <v>292</v>
      </c>
      <c r="E92" s="138" t="s">
        <v>256</v>
      </c>
      <c r="F92" s="139">
        <v>100000000</v>
      </c>
      <c r="G92" s="139">
        <v>-100000000</v>
      </c>
      <c r="H92" s="139">
        <v>0</v>
      </c>
    </row>
    <row r="93" spans="1:9" s="140" customFormat="1" ht="12.75" customHeight="1" x14ac:dyDescent="0.25">
      <c r="A93" s="137"/>
      <c r="B93" s="138" t="s">
        <v>18</v>
      </c>
      <c r="C93" s="138" t="s">
        <v>177</v>
      </c>
      <c r="D93" s="158" t="s">
        <v>273</v>
      </c>
      <c r="E93" s="138" t="s">
        <v>256</v>
      </c>
      <c r="F93" s="139">
        <v>-170000000</v>
      </c>
      <c r="G93" s="139">
        <v>0</v>
      </c>
      <c r="H93" s="139">
        <v>0</v>
      </c>
      <c r="I93" s="142"/>
    </row>
    <row r="94" spans="1:9" s="140" customFormat="1" ht="12.75" customHeight="1" x14ac:dyDescent="0.25">
      <c r="A94" s="137"/>
      <c r="B94" s="138" t="s">
        <v>30</v>
      </c>
      <c r="C94" s="138" t="s">
        <v>171</v>
      </c>
      <c r="D94" s="158" t="s">
        <v>270</v>
      </c>
      <c r="E94" s="138" t="s">
        <v>256</v>
      </c>
      <c r="F94" s="139">
        <v>-201000000</v>
      </c>
      <c r="G94" s="139">
        <v>0</v>
      </c>
      <c r="H94" s="139">
        <v>0</v>
      </c>
      <c r="I94" s="142"/>
    </row>
    <row r="95" spans="1:9" s="140" customFormat="1" ht="12.75" customHeight="1" x14ac:dyDescent="0.25">
      <c r="A95" s="137"/>
      <c r="B95" s="138" t="s">
        <v>30</v>
      </c>
      <c r="C95" s="138" t="s">
        <v>171</v>
      </c>
      <c r="D95" s="158" t="s">
        <v>172</v>
      </c>
      <c r="E95" s="138" t="s">
        <v>256</v>
      </c>
      <c r="F95" s="139">
        <v>-660903082</v>
      </c>
      <c r="G95" s="139">
        <v>0</v>
      </c>
      <c r="H95" s="139">
        <v>0</v>
      </c>
    </row>
    <row r="96" spans="1:9" s="140" customFormat="1" ht="12.75" customHeight="1" x14ac:dyDescent="0.25">
      <c r="A96" s="137"/>
      <c r="B96" s="138" t="s">
        <v>13</v>
      </c>
      <c r="C96" s="138" t="s">
        <v>173</v>
      </c>
      <c r="D96" s="158" t="s">
        <v>272</v>
      </c>
      <c r="E96" s="138" t="s">
        <v>256</v>
      </c>
      <c r="F96" s="139">
        <v>-915000000</v>
      </c>
      <c r="G96" s="139">
        <v>283000000</v>
      </c>
      <c r="H96" s="139">
        <v>0</v>
      </c>
    </row>
    <row r="97" spans="1:9" s="140" customFormat="1" ht="12.75" customHeight="1" x14ac:dyDescent="0.25">
      <c r="A97" s="137"/>
      <c r="B97" s="138" t="s">
        <v>2</v>
      </c>
      <c r="C97" s="138" t="s">
        <v>260</v>
      </c>
      <c r="D97" s="158" t="s">
        <v>284</v>
      </c>
      <c r="E97" s="138" t="s">
        <v>265</v>
      </c>
      <c r="F97" s="139">
        <v>-285000000</v>
      </c>
      <c r="G97" s="139">
        <v>-156000000</v>
      </c>
      <c r="H97" s="139">
        <v>-46000000</v>
      </c>
    </row>
    <row r="98" spans="1:9" s="140" customFormat="1" ht="12.75" customHeight="1" x14ac:dyDescent="0.25">
      <c r="A98" s="137"/>
      <c r="B98" s="138" t="s">
        <v>18</v>
      </c>
      <c r="C98" s="138" t="s">
        <v>177</v>
      </c>
      <c r="D98" s="158" t="s">
        <v>293</v>
      </c>
      <c r="E98" s="138" t="s">
        <v>265</v>
      </c>
      <c r="F98" s="139">
        <v>130000000</v>
      </c>
      <c r="G98" s="139">
        <v>0</v>
      </c>
      <c r="H98" s="139">
        <v>0</v>
      </c>
    </row>
    <row r="99" spans="1:9" s="140" customFormat="1" ht="12.75" customHeight="1" x14ac:dyDescent="0.25">
      <c r="A99" s="137"/>
      <c r="B99" s="138" t="s">
        <v>2</v>
      </c>
      <c r="C99" s="138" t="s">
        <v>260</v>
      </c>
      <c r="D99" s="158" t="s">
        <v>280</v>
      </c>
      <c r="E99" s="138" t="s">
        <v>265</v>
      </c>
      <c r="F99" s="139">
        <v>0</v>
      </c>
      <c r="G99" s="139">
        <v>-84000000</v>
      </c>
      <c r="H99" s="139">
        <v>0</v>
      </c>
    </row>
    <row r="100" spans="1:9" s="140" customFormat="1" ht="12.75" customHeight="1" x14ac:dyDescent="0.25">
      <c r="A100" s="137"/>
      <c r="B100" s="138" t="s">
        <v>2</v>
      </c>
      <c r="C100" s="138" t="s">
        <v>260</v>
      </c>
      <c r="D100" s="158" t="s">
        <v>296</v>
      </c>
      <c r="E100" s="138" t="s">
        <v>265</v>
      </c>
      <c r="F100" s="139">
        <v>-87500000</v>
      </c>
      <c r="G100" s="139">
        <v>0</v>
      </c>
      <c r="H100" s="139">
        <v>0</v>
      </c>
    </row>
    <row r="101" spans="1:9" s="140" customFormat="1" ht="12.75" customHeight="1" x14ac:dyDescent="0.25">
      <c r="A101" s="137"/>
      <c r="B101" s="138" t="s">
        <v>18</v>
      </c>
      <c r="C101" s="138" t="s">
        <v>177</v>
      </c>
      <c r="D101" s="158" t="s">
        <v>290</v>
      </c>
      <c r="E101" s="138" t="s">
        <v>265</v>
      </c>
      <c r="F101" s="139">
        <v>-140000000</v>
      </c>
      <c r="G101" s="139">
        <v>0</v>
      </c>
      <c r="H101" s="139">
        <v>0</v>
      </c>
      <c r="I101" s="142"/>
    </row>
    <row r="102" spans="1:9" s="140" customFormat="1" ht="12.75" customHeight="1" x14ac:dyDescent="0.25">
      <c r="A102" s="137"/>
      <c r="B102" s="138" t="s">
        <v>18</v>
      </c>
      <c r="C102" s="138" t="s">
        <v>177</v>
      </c>
      <c r="D102" s="158" t="s">
        <v>376</v>
      </c>
      <c r="E102" s="138" t="s">
        <v>265</v>
      </c>
      <c r="F102" s="139">
        <v>160000000</v>
      </c>
      <c r="G102" s="139">
        <v>0</v>
      </c>
      <c r="H102" s="139">
        <v>0</v>
      </c>
    </row>
    <row r="103" spans="1:9" s="140" customFormat="1" ht="12.75" customHeight="1" x14ac:dyDescent="0.25">
      <c r="A103" s="137"/>
      <c r="B103" s="138" t="s">
        <v>18</v>
      </c>
      <c r="C103" s="138" t="s">
        <v>177</v>
      </c>
      <c r="D103" s="158" t="s">
        <v>377</v>
      </c>
      <c r="E103" s="138" t="s">
        <v>265</v>
      </c>
      <c r="F103" s="139">
        <v>-160000000</v>
      </c>
      <c r="G103" s="139">
        <v>0</v>
      </c>
      <c r="H103" s="139">
        <v>110000000</v>
      </c>
    </row>
    <row r="104" spans="1:9" s="140" customFormat="1" ht="12.75" customHeight="1" x14ac:dyDescent="0.25">
      <c r="A104" s="137"/>
      <c r="B104" s="138" t="s">
        <v>2</v>
      </c>
      <c r="C104" s="138" t="s">
        <v>260</v>
      </c>
      <c r="D104" s="158" t="s">
        <v>282</v>
      </c>
      <c r="E104" s="138" t="s">
        <v>263</v>
      </c>
      <c r="F104" s="139">
        <v>0</v>
      </c>
      <c r="G104" s="139">
        <v>54900000</v>
      </c>
      <c r="H104" s="139">
        <v>0</v>
      </c>
      <c r="I104" s="142"/>
    </row>
    <row r="105" spans="1:9" s="140" customFormat="1" ht="12.75" customHeight="1" x14ac:dyDescent="0.25">
      <c r="A105" s="137"/>
      <c r="B105" s="138" t="s">
        <v>2</v>
      </c>
      <c r="C105" s="138" t="s">
        <v>260</v>
      </c>
      <c r="D105" s="158" t="s">
        <v>294</v>
      </c>
      <c r="E105" s="138" t="s">
        <v>263</v>
      </c>
      <c r="F105" s="139">
        <v>-36000000</v>
      </c>
      <c r="G105" s="139">
        <v>76500000</v>
      </c>
      <c r="H105" s="139">
        <v>0</v>
      </c>
    </row>
    <row r="106" spans="1:9" s="140" customFormat="1" ht="12.75" customHeight="1" x14ac:dyDescent="0.25">
      <c r="A106" s="137"/>
      <c r="B106" s="138" t="s">
        <v>18</v>
      </c>
      <c r="C106" s="138" t="s">
        <v>177</v>
      </c>
      <c r="D106" s="158" t="s">
        <v>279</v>
      </c>
      <c r="E106" s="138" t="s">
        <v>263</v>
      </c>
      <c r="F106" s="139">
        <v>-60750000</v>
      </c>
      <c r="G106" s="139">
        <v>5250000</v>
      </c>
      <c r="H106" s="139">
        <v>10500000</v>
      </c>
    </row>
    <row r="107" spans="1:9" s="140" customFormat="1" ht="12.75" customHeight="1" x14ac:dyDescent="0.25">
      <c r="A107" s="137"/>
      <c r="B107" s="138" t="s">
        <v>18</v>
      </c>
      <c r="C107" s="138" t="s">
        <v>177</v>
      </c>
      <c r="D107" s="158" t="s">
        <v>283</v>
      </c>
      <c r="E107" s="138" t="s">
        <v>263</v>
      </c>
      <c r="F107" s="139">
        <v>150000000</v>
      </c>
      <c r="G107" s="139">
        <v>0</v>
      </c>
      <c r="H107" s="139">
        <v>0</v>
      </c>
    </row>
    <row r="108" spans="1:9" s="140" customFormat="1" ht="12.75" customHeight="1" x14ac:dyDescent="0.25">
      <c r="A108" s="137"/>
      <c r="B108" s="138" t="s">
        <v>390</v>
      </c>
      <c r="C108" s="138" t="s">
        <v>275</v>
      </c>
      <c r="D108" s="158" t="s">
        <v>295</v>
      </c>
      <c r="E108" s="138" t="s">
        <v>263</v>
      </c>
      <c r="F108" s="139">
        <v>486000000</v>
      </c>
      <c r="G108" s="139">
        <v>0</v>
      </c>
      <c r="H108" s="139">
        <v>0</v>
      </c>
    </row>
    <row r="109" spans="1:9" s="140" customFormat="1" ht="12.75" customHeight="1" x14ac:dyDescent="0.25">
      <c r="A109" s="137"/>
      <c r="B109" s="138" t="s">
        <v>18</v>
      </c>
      <c r="C109" s="138" t="s">
        <v>177</v>
      </c>
      <c r="D109" s="158" t="s">
        <v>274</v>
      </c>
      <c r="E109" s="138" t="s">
        <v>263</v>
      </c>
      <c r="F109" s="139">
        <v>100000000</v>
      </c>
      <c r="G109" s="139">
        <v>0</v>
      </c>
      <c r="H109" s="139">
        <v>0</v>
      </c>
    </row>
    <row r="110" spans="1:9" s="140" customFormat="1" ht="12.75" customHeight="1" x14ac:dyDescent="0.25">
      <c r="A110" s="137"/>
      <c r="B110" s="138" t="s">
        <v>2</v>
      </c>
      <c r="C110" s="138" t="s">
        <v>260</v>
      </c>
      <c r="D110" s="158" t="s">
        <v>264</v>
      </c>
      <c r="E110" s="138" t="s">
        <v>258</v>
      </c>
      <c r="F110" s="139">
        <v>-18000000</v>
      </c>
      <c r="G110" s="139">
        <v>55000000</v>
      </c>
      <c r="H110" s="139">
        <v>46000000</v>
      </c>
    </row>
    <row r="111" spans="1:9" s="140" customFormat="1" ht="12.75" customHeight="1" x14ac:dyDescent="0.25">
      <c r="A111" s="137"/>
      <c r="B111" s="138" t="s">
        <v>390</v>
      </c>
      <c r="C111" s="138" t="s">
        <v>393</v>
      </c>
      <c r="D111" s="158" t="s">
        <v>286</v>
      </c>
      <c r="E111" s="138" t="s">
        <v>271</v>
      </c>
      <c r="F111" s="139">
        <v>57000000</v>
      </c>
      <c r="G111" s="139">
        <v>14000000</v>
      </c>
      <c r="H111" s="139">
        <v>6000000</v>
      </c>
      <c r="I111" s="142"/>
    </row>
    <row r="112" spans="1:9" s="140" customFormat="1" ht="12.75" customHeight="1" x14ac:dyDescent="0.25">
      <c r="A112" s="137"/>
      <c r="B112" s="138" t="s">
        <v>390</v>
      </c>
      <c r="C112" s="138" t="s">
        <v>394</v>
      </c>
      <c r="D112" s="158" t="s">
        <v>278</v>
      </c>
      <c r="E112" s="138" t="s">
        <v>399</v>
      </c>
      <c r="F112" s="139">
        <v>-265000000</v>
      </c>
      <c r="G112" s="139">
        <v>0</v>
      </c>
      <c r="H112" s="139">
        <v>0</v>
      </c>
    </row>
    <row r="113" spans="1:11" s="140" customFormat="1" ht="12.75" customHeight="1" x14ac:dyDescent="0.25">
      <c r="A113" s="137"/>
      <c r="B113" s="138" t="s">
        <v>2</v>
      </c>
      <c r="C113" s="138" t="s">
        <v>260</v>
      </c>
      <c r="D113" s="158" t="s">
        <v>262</v>
      </c>
      <c r="E113" s="138" t="s">
        <v>398</v>
      </c>
      <c r="F113" s="139">
        <v>110000000</v>
      </c>
      <c r="G113" s="139">
        <v>10000000</v>
      </c>
      <c r="H113" s="139">
        <v>0</v>
      </c>
    </row>
    <row r="114" spans="1:11" s="140" customFormat="1" ht="12.75" customHeight="1" x14ac:dyDescent="0.25">
      <c r="A114" s="137"/>
      <c r="B114" s="138" t="s">
        <v>390</v>
      </c>
      <c r="C114" s="138" t="s">
        <v>15</v>
      </c>
      <c r="D114" s="158" t="s">
        <v>378</v>
      </c>
      <c r="E114" s="138" t="s">
        <v>0</v>
      </c>
      <c r="F114" s="139">
        <v>-38624381.739999995</v>
      </c>
      <c r="G114" s="139">
        <v>1000000</v>
      </c>
      <c r="H114" s="139">
        <v>94000000</v>
      </c>
    </row>
    <row r="115" spans="1:11" s="140" customFormat="1" ht="12.75" customHeight="1" x14ac:dyDescent="0.25">
      <c r="A115" s="137"/>
      <c r="B115" s="138" t="s">
        <v>390</v>
      </c>
      <c r="C115" s="138" t="s">
        <v>15</v>
      </c>
      <c r="D115" s="158" t="s">
        <v>379</v>
      </c>
      <c r="E115" s="138" t="s">
        <v>0</v>
      </c>
      <c r="F115" s="139">
        <v>-81670370.599999934</v>
      </c>
      <c r="G115" s="139">
        <v>170000000</v>
      </c>
      <c r="H115" s="139">
        <v>0</v>
      </c>
    </row>
    <row r="116" spans="1:11" s="140" customFormat="1" ht="12.75" customHeight="1" x14ac:dyDescent="0.25">
      <c r="A116" s="137"/>
      <c r="B116" s="138" t="s">
        <v>390</v>
      </c>
      <c r="C116" s="138" t="s">
        <v>4</v>
      </c>
      <c r="D116" s="158" t="s">
        <v>380</v>
      </c>
      <c r="E116" s="138" t="s">
        <v>0</v>
      </c>
      <c r="F116" s="139">
        <v>53985165.389999993</v>
      </c>
      <c r="G116" s="139">
        <v>-7999999.9999999935</v>
      </c>
      <c r="H116" s="139">
        <v>-19999999.999999989</v>
      </c>
    </row>
    <row r="117" spans="1:11" s="140" customFormat="1" ht="12.75" customHeight="1" x14ac:dyDescent="0.25">
      <c r="A117" s="137"/>
      <c r="B117" s="138" t="s">
        <v>390</v>
      </c>
      <c r="C117" s="138" t="s">
        <v>15</v>
      </c>
      <c r="D117" s="158" t="s">
        <v>381</v>
      </c>
      <c r="E117" s="138" t="s">
        <v>0</v>
      </c>
      <c r="F117" s="139">
        <v>0</v>
      </c>
      <c r="G117" s="139">
        <v>-1034999999.9999999</v>
      </c>
      <c r="H117" s="139">
        <v>1034999999.9999999</v>
      </c>
    </row>
    <row r="118" spans="1:11" s="140" customFormat="1" ht="12.75" customHeight="1" x14ac:dyDescent="0.25">
      <c r="A118" s="137"/>
      <c r="B118" s="138" t="s">
        <v>390</v>
      </c>
      <c r="C118" s="138" t="s">
        <v>4</v>
      </c>
      <c r="D118" s="158" t="s">
        <v>382</v>
      </c>
      <c r="E118" s="138" t="s">
        <v>0</v>
      </c>
      <c r="F118" s="139">
        <v>0</v>
      </c>
      <c r="G118" s="139">
        <v>0</v>
      </c>
      <c r="H118" s="139">
        <v>-90000000</v>
      </c>
    </row>
    <row r="119" spans="1:11" s="140" customFormat="1" ht="12.75" customHeight="1" x14ac:dyDescent="0.25">
      <c r="A119" s="137"/>
      <c r="B119" s="138" t="s">
        <v>390</v>
      </c>
      <c r="C119" s="138" t="s">
        <v>15</v>
      </c>
      <c r="D119" s="158" t="s">
        <v>383</v>
      </c>
      <c r="E119" s="138" t="s">
        <v>0</v>
      </c>
      <c r="F119" s="139">
        <v>0</v>
      </c>
      <c r="G119" s="139">
        <v>0</v>
      </c>
      <c r="H119" s="139">
        <v>-240000000</v>
      </c>
      <c r="I119" s="142"/>
    </row>
    <row r="120" spans="1:11" s="140" customFormat="1" ht="12.75" customHeight="1" x14ac:dyDescent="0.25">
      <c r="A120" s="137"/>
      <c r="B120" s="138" t="s">
        <v>30</v>
      </c>
      <c r="C120" s="138" t="s">
        <v>171</v>
      </c>
      <c r="D120" s="158" t="s">
        <v>384</v>
      </c>
      <c r="E120" s="138" t="s">
        <v>0</v>
      </c>
      <c r="F120" s="139">
        <v>-213090775.10153928</v>
      </c>
      <c r="G120" s="139">
        <v>0</v>
      </c>
      <c r="H120" s="139">
        <v>0</v>
      </c>
    </row>
    <row r="121" spans="1:11" s="140" customFormat="1" ht="12.75" customHeight="1" x14ac:dyDescent="0.25">
      <c r="A121" s="137"/>
      <c r="B121" s="138" t="s">
        <v>108</v>
      </c>
      <c r="C121" s="138" t="s">
        <v>275</v>
      </c>
      <c r="D121" s="158" t="s">
        <v>385</v>
      </c>
      <c r="E121" s="138" t="s">
        <v>397</v>
      </c>
      <c r="F121" s="139">
        <v>0</v>
      </c>
      <c r="G121" s="139">
        <v>0</v>
      </c>
      <c r="H121" s="139">
        <v>150000000</v>
      </c>
      <c r="K121" s="151"/>
    </row>
    <row r="122" spans="1:11" s="140" customFormat="1" ht="12.75" customHeight="1" x14ac:dyDescent="0.25">
      <c r="A122" s="137"/>
      <c r="B122" s="138" t="s">
        <v>390</v>
      </c>
      <c r="C122" s="138" t="s">
        <v>166</v>
      </c>
      <c r="D122" s="158" t="s">
        <v>412</v>
      </c>
      <c r="E122" s="138" t="s">
        <v>396</v>
      </c>
      <c r="F122" s="139">
        <v>0</v>
      </c>
      <c r="G122" s="139">
        <v>0</v>
      </c>
      <c r="H122" s="139">
        <v>-400000000</v>
      </c>
      <c r="I122" s="142"/>
      <c r="K122" s="120"/>
    </row>
    <row r="123" spans="1:11" s="140" customFormat="1" ht="12.75" customHeight="1" x14ac:dyDescent="0.25">
      <c r="A123" s="137"/>
      <c r="B123" s="138" t="s">
        <v>390</v>
      </c>
      <c r="C123" s="138">
        <v>1440</v>
      </c>
      <c r="D123" s="158" t="s">
        <v>438</v>
      </c>
      <c r="E123" s="138" t="s">
        <v>396</v>
      </c>
      <c r="F123" s="139">
        <v>0</v>
      </c>
      <c r="G123" s="139">
        <v>0</v>
      </c>
      <c r="H123" s="139">
        <v>2000000000</v>
      </c>
    </row>
    <row r="124" spans="1:11" s="140" customFormat="1" ht="12.75" customHeight="1" x14ac:dyDescent="0.25">
      <c r="A124" s="137"/>
      <c r="B124" s="138" t="s">
        <v>2</v>
      </c>
      <c r="C124" s="138" t="s">
        <v>260</v>
      </c>
      <c r="D124" s="158" t="s">
        <v>429</v>
      </c>
      <c r="E124" s="138" t="s">
        <v>396</v>
      </c>
      <c r="F124" s="139">
        <v>0</v>
      </c>
      <c r="G124" s="139">
        <v>0</v>
      </c>
      <c r="H124" s="139">
        <v>180000000</v>
      </c>
      <c r="I124" s="142"/>
    </row>
    <row r="125" spans="1:11" s="140" customFormat="1" ht="12.75" customHeight="1" x14ac:dyDescent="0.25">
      <c r="A125" s="137"/>
      <c r="B125" s="138" t="s">
        <v>18</v>
      </c>
      <c r="C125" s="138" t="s">
        <v>177</v>
      </c>
      <c r="D125" s="158" t="s">
        <v>423</v>
      </c>
      <c r="E125" s="138" t="s">
        <v>396</v>
      </c>
      <c r="F125" s="139">
        <v>0</v>
      </c>
      <c r="G125" s="139">
        <v>0</v>
      </c>
      <c r="H125" s="139">
        <v>500000000</v>
      </c>
      <c r="I125" s="142"/>
    </row>
    <row r="126" spans="1:11" s="140" customFormat="1" ht="12.75" customHeight="1" x14ac:dyDescent="0.25">
      <c r="A126" s="137"/>
      <c r="B126" s="138" t="s">
        <v>13</v>
      </c>
      <c r="C126" s="138" t="s">
        <v>173</v>
      </c>
      <c r="D126" s="158" t="s">
        <v>353</v>
      </c>
      <c r="E126" s="138" t="s">
        <v>396</v>
      </c>
      <c r="F126" s="139">
        <v>0</v>
      </c>
      <c r="G126" s="139">
        <v>0</v>
      </c>
      <c r="H126" s="139">
        <v>800000000</v>
      </c>
    </row>
    <row r="127" spans="1:11" s="140" customFormat="1" ht="12.75" customHeight="1" x14ac:dyDescent="0.25">
      <c r="A127" s="137"/>
      <c r="B127" s="138" t="s">
        <v>13</v>
      </c>
      <c r="C127" s="138" t="s">
        <v>173</v>
      </c>
      <c r="D127" s="158" t="s">
        <v>413</v>
      </c>
      <c r="E127" s="138" t="s">
        <v>396</v>
      </c>
      <c r="F127" s="139">
        <v>0</v>
      </c>
      <c r="G127" s="139">
        <v>0</v>
      </c>
      <c r="H127" s="139">
        <v>400000000</v>
      </c>
      <c r="I127" s="150"/>
    </row>
    <row r="128" spans="1:11" s="140" customFormat="1" ht="12.75" customHeight="1" x14ac:dyDescent="0.25">
      <c r="A128" s="137"/>
      <c r="B128" s="138" t="s">
        <v>390</v>
      </c>
      <c r="C128" s="138" t="s">
        <v>275</v>
      </c>
      <c r="D128" s="158" t="s">
        <v>427</v>
      </c>
      <c r="E128" s="138" t="s">
        <v>396</v>
      </c>
      <c r="F128" s="139">
        <v>0</v>
      </c>
      <c r="G128" s="139">
        <v>0</v>
      </c>
      <c r="H128" s="139">
        <v>200000000</v>
      </c>
      <c r="I128" s="150"/>
    </row>
    <row r="129" spans="1:9" s="140" customFormat="1" ht="12.75" customHeight="1" x14ac:dyDescent="0.25">
      <c r="A129" s="137"/>
      <c r="B129" s="138" t="s">
        <v>390</v>
      </c>
      <c r="C129" s="138">
        <v>1441</v>
      </c>
      <c r="D129" s="158" t="s">
        <v>340</v>
      </c>
      <c r="E129" s="138" t="s">
        <v>396</v>
      </c>
      <c r="F129" s="139">
        <v>0</v>
      </c>
      <c r="G129" s="139">
        <v>0</v>
      </c>
      <c r="H129" s="139">
        <v>8000000000</v>
      </c>
      <c r="I129" s="150"/>
    </row>
    <row r="130" spans="1:9" s="140" customFormat="1" ht="12.75" customHeight="1" x14ac:dyDescent="0.25">
      <c r="A130" s="137"/>
      <c r="B130" s="138" t="s">
        <v>390</v>
      </c>
      <c r="C130" s="138" t="s">
        <v>166</v>
      </c>
      <c r="D130" s="158" t="s">
        <v>350</v>
      </c>
      <c r="E130" s="138" t="s">
        <v>396</v>
      </c>
      <c r="F130" s="139">
        <v>0</v>
      </c>
      <c r="G130" s="139">
        <v>0</v>
      </c>
      <c r="H130" s="139">
        <v>1599999999.9999998</v>
      </c>
      <c r="I130" s="150"/>
    </row>
    <row r="131" spans="1:9" s="140" customFormat="1" ht="12.75" customHeight="1" x14ac:dyDescent="0.25">
      <c r="A131" s="137"/>
      <c r="B131" s="138" t="s">
        <v>18</v>
      </c>
      <c r="C131" s="138" t="s">
        <v>177</v>
      </c>
      <c r="D131" s="158" t="s">
        <v>351</v>
      </c>
      <c r="E131" s="138" t="s">
        <v>396</v>
      </c>
      <c r="F131" s="139">
        <v>0</v>
      </c>
      <c r="G131" s="139">
        <v>0</v>
      </c>
      <c r="H131" s="139">
        <v>-220000000</v>
      </c>
      <c r="I131" s="150"/>
    </row>
    <row r="132" spans="1:9" s="140" customFormat="1" ht="12.75" customHeight="1" x14ac:dyDescent="0.25">
      <c r="A132" s="137"/>
      <c r="B132" s="138" t="s">
        <v>13</v>
      </c>
      <c r="C132" s="138" t="s">
        <v>173</v>
      </c>
      <c r="D132" s="158" t="s">
        <v>355</v>
      </c>
      <c r="E132" s="138" t="s">
        <v>396</v>
      </c>
      <c r="F132" s="139">
        <v>0</v>
      </c>
      <c r="G132" s="139">
        <v>0</v>
      </c>
      <c r="H132" s="139">
        <v>220000000</v>
      </c>
      <c r="I132" s="150"/>
    </row>
    <row r="133" spans="1:9" s="140" customFormat="1" ht="12.75" customHeight="1" x14ac:dyDescent="0.25">
      <c r="A133" s="137"/>
      <c r="B133" s="138" t="s">
        <v>13</v>
      </c>
      <c r="C133" s="138" t="s">
        <v>173</v>
      </c>
      <c r="D133" s="158" t="s">
        <v>425</v>
      </c>
      <c r="E133" s="138" t="s">
        <v>396</v>
      </c>
      <c r="F133" s="139">
        <v>0</v>
      </c>
      <c r="G133" s="139">
        <v>0</v>
      </c>
      <c r="H133" s="139">
        <v>200000000</v>
      </c>
      <c r="I133" s="150"/>
    </row>
    <row r="134" spans="1:9" s="140" customFormat="1" ht="12.75" customHeight="1" x14ac:dyDescent="0.25">
      <c r="A134" s="137"/>
      <c r="B134" s="138" t="s">
        <v>390</v>
      </c>
      <c r="C134" s="138" t="s">
        <v>391</v>
      </c>
      <c r="D134" s="158" t="s">
        <v>426</v>
      </c>
      <c r="E134" s="138" t="s">
        <v>396</v>
      </c>
      <c r="F134" s="139">
        <v>0</v>
      </c>
      <c r="G134" s="139">
        <v>0</v>
      </c>
      <c r="H134" s="139">
        <v>300000000</v>
      </c>
      <c r="I134" s="150"/>
    </row>
    <row r="135" spans="1:9" s="140" customFormat="1" ht="12.75" customHeight="1" x14ac:dyDescent="0.25">
      <c r="A135" s="137"/>
      <c r="B135" s="138" t="s">
        <v>390</v>
      </c>
      <c r="C135" s="138" t="s">
        <v>275</v>
      </c>
      <c r="D135" s="158" t="s">
        <v>386</v>
      </c>
      <c r="E135" s="138" t="s">
        <v>396</v>
      </c>
      <c r="F135" s="139">
        <v>0</v>
      </c>
      <c r="G135" s="139">
        <v>0</v>
      </c>
      <c r="H135" s="139">
        <v>2985000000</v>
      </c>
      <c r="I135" s="150"/>
    </row>
    <row r="136" spans="1:9" s="140" customFormat="1" ht="12.75" customHeight="1" x14ac:dyDescent="0.25">
      <c r="A136" s="137"/>
      <c r="B136" s="138" t="s">
        <v>13</v>
      </c>
      <c r="C136" s="138" t="s">
        <v>173</v>
      </c>
      <c r="D136" s="158" t="s">
        <v>344</v>
      </c>
      <c r="E136" s="138" t="s">
        <v>396</v>
      </c>
      <c r="F136" s="139">
        <v>0</v>
      </c>
      <c r="G136" s="139">
        <v>0</v>
      </c>
      <c r="H136" s="139">
        <v>1227000000</v>
      </c>
      <c r="I136" s="150"/>
    </row>
    <row r="137" spans="1:9" s="140" customFormat="1" ht="12.75" customHeight="1" x14ac:dyDescent="0.25">
      <c r="A137" s="137"/>
      <c r="B137" s="138" t="s">
        <v>390</v>
      </c>
      <c r="C137" s="138" t="s">
        <v>275</v>
      </c>
      <c r="D137" s="158" t="s">
        <v>348</v>
      </c>
      <c r="E137" s="138" t="s">
        <v>396</v>
      </c>
      <c r="F137" s="139">
        <v>0</v>
      </c>
      <c r="G137" s="139">
        <v>0</v>
      </c>
      <c r="H137" s="139">
        <v>210000000</v>
      </c>
      <c r="I137" s="150"/>
    </row>
    <row r="138" spans="1:9" s="140" customFormat="1" ht="12.75" customHeight="1" x14ac:dyDescent="0.25">
      <c r="A138" s="137"/>
      <c r="B138" s="138" t="s">
        <v>390</v>
      </c>
      <c r="C138" s="138" t="s">
        <v>395</v>
      </c>
      <c r="D138" s="158" t="s">
        <v>347</v>
      </c>
      <c r="E138" s="138" t="s">
        <v>396</v>
      </c>
      <c r="F138" s="139">
        <v>0</v>
      </c>
      <c r="G138" s="139">
        <v>0</v>
      </c>
      <c r="H138" s="139">
        <v>528000000</v>
      </c>
      <c r="I138" s="150"/>
    </row>
    <row r="139" spans="1:9" s="140" customFormat="1" ht="12.75" customHeight="1" x14ac:dyDescent="0.25">
      <c r="A139" s="137"/>
      <c r="B139" s="138" t="s">
        <v>13</v>
      </c>
      <c r="C139" s="138" t="s">
        <v>173</v>
      </c>
      <c r="D139" s="158" t="s">
        <v>387</v>
      </c>
      <c r="E139" s="138" t="s">
        <v>396</v>
      </c>
      <c r="F139" s="139">
        <v>0</v>
      </c>
      <c r="G139" s="139">
        <v>0</v>
      </c>
      <c r="H139" s="139">
        <v>1000000000</v>
      </c>
      <c r="I139" s="150"/>
    </row>
    <row r="140" spans="1:9" s="140" customFormat="1" ht="12.75" customHeight="1" x14ac:dyDescent="0.25">
      <c r="A140" s="137"/>
      <c r="B140" s="138" t="s">
        <v>30</v>
      </c>
      <c r="C140" s="138" t="s">
        <v>171</v>
      </c>
      <c r="D140" s="158" t="s">
        <v>388</v>
      </c>
      <c r="E140" s="138" t="s">
        <v>396</v>
      </c>
      <c r="F140" s="139">
        <v>0</v>
      </c>
      <c r="G140" s="139">
        <v>0</v>
      </c>
      <c r="H140" s="139">
        <v>591000000</v>
      </c>
      <c r="I140" s="150"/>
    </row>
    <row r="141" spans="1:9" s="140" customFormat="1" ht="12.75" customHeight="1" x14ac:dyDescent="0.25">
      <c r="A141" s="137"/>
      <c r="B141" s="138" t="s">
        <v>18</v>
      </c>
      <c r="C141" s="138">
        <v>1301</v>
      </c>
      <c r="D141" s="169" t="s">
        <v>428</v>
      </c>
      <c r="E141" s="138" t="s">
        <v>396</v>
      </c>
      <c r="F141" s="139">
        <v>0</v>
      </c>
      <c r="G141" s="139">
        <v>0</v>
      </c>
      <c r="H141" s="139">
        <v>-1000000000</v>
      </c>
      <c r="I141" s="150"/>
    </row>
    <row r="142" spans="1:9" s="140" customFormat="1" ht="12.75" customHeight="1" x14ac:dyDescent="0.25">
      <c r="A142" s="137"/>
      <c r="B142" s="138" t="s">
        <v>390</v>
      </c>
      <c r="C142" s="138">
        <v>1753</v>
      </c>
      <c r="D142" s="169" t="s">
        <v>346</v>
      </c>
      <c r="E142" s="138" t="s">
        <v>396</v>
      </c>
      <c r="F142" s="139">
        <v>0</v>
      </c>
      <c r="G142" s="139">
        <v>0</v>
      </c>
      <c r="H142" s="139">
        <v>-2800000000</v>
      </c>
      <c r="I142" s="150"/>
    </row>
    <row r="143" spans="1:9" s="140" customFormat="1" ht="12.75" customHeight="1" x14ac:dyDescent="0.25">
      <c r="A143" s="137"/>
      <c r="B143" s="138" t="s">
        <v>13</v>
      </c>
      <c r="C143" s="138" t="s">
        <v>173</v>
      </c>
      <c r="D143" s="169" t="s">
        <v>418</v>
      </c>
      <c r="E143" s="138" t="s">
        <v>0</v>
      </c>
      <c r="F143" s="139">
        <v>487553021.11056548</v>
      </c>
      <c r="G143" s="139">
        <v>-137654742.36106819</v>
      </c>
      <c r="H143" s="139">
        <v>-207443289.59135601</v>
      </c>
      <c r="I143" s="150"/>
    </row>
    <row r="144" spans="1:9" s="140" customFormat="1" ht="12.75" customHeight="1" x14ac:dyDescent="0.25">
      <c r="A144" s="137"/>
      <c r="B144" s="138" t="s">
        <v>13</v>
      </c>
      <c r="C144" s="138" t="s">
        <v>173</v>
      </c>
      <c r="D144" s="158" t="s">
        <v>419</v>
      </c>
      <c r="E144" s="138" t="s">
        <v>0</v>
      </c>
      <c r="F144" s="139">
        <v>758309291.04366803</v>
      </c>
      <c r="G144" s="139">
        <v>-855174088.18694818</v>
      </c>
      <c r="H144" s="139">
        <v>-261274544.22705331</v>
      </c>
      <c r="I144" s="150"/>
    </row>
    <row r="145" spans="1:11" s="140" customFormat="1" ht="12.75" customHeight="1" x14ac:dyDescent="0.25">
      <c r="A145" s="137"/>
      <c r="B145" s="138" t="s">
        <v>30</v>
      </c>
      <c r="C145" s="138" t="s">
        <v>171</v>
      </c>
      <c r="D145" s="158" t="s">
        <v>418</v>
      </c>
      <c r="E145" s="138" t="s">
        <v>0</v>
      </c>
      <c r="F145" s="139">
        <v>174876183.85230869</v>
      </c>
      <c r="G145" s="139">
        <v>-172543021.0208686</v>
      </c>
      <c r="H145" s="139">
        <v>-49596652.123194903</v>
      </c>
      <c r="I145" s="142"/>
    </row>
    <row r="146" spans="1:11" s="140" customFormat="1" ht="12.75" customHeight="1" x14ac:dyDescent="0.25">
      <c r="A146" s="137"/>
      <c r="B146" s="138" t="s">
        <v>30</v>
      </c>
      <c r="C146" s="138" t="s">
        <v>171</v>
      </c>
      <c r="D146" s="158" t="s">
        <v>422</v>
      </c>
      <c r="E146" s="138" t="s">
        <v>0</v>
      </c>
      <c r="F146" s="139">
        <v>-22442175.055599101</v>
      </c>
      <c r="G146" s="139">
        <v>46046032.8692054</v>
      </c>
      <c r="H146" s="139">
        <v>180137432.64821368</v>
      </c>
      <c r="I146" s="142"/>
    </row>
    <row r="147" spans="1:11" s="140" customFormat="1" ht="12.75" customHeight="1" x14ac:dyDescent="0.25">
      <c r="A147" s="137"/>
      <c r="B147" s="138" t="s">
        <v>390</v>
      </c>
      <c r="C147" s="138" t="s">
        <v>213</v>
      </c>
      <c r="D147" s="158" t="s">
        <v>437</v>
      </c>
      <c r="E147" s="138" t="s">
        <v>0</v>
      </c>
      <c r="F147" s="139">
        <f>F148-SUM(F64:F146)</f>
        <v>-56812850.73464942</v>
      </c>
      <c r="G147" s="139">
        <f>G148-SUM(G64:G146)</f>
        <v>248799204.60856843</v>
      </c>
      <c r="H147" s="139">
        <f>H148-SUM(H64:H146)</f>
        <v>113662133.5739975</v>
      </c>
      <c r="I147" s="142"/>
    </row>
    <row r="148" spans="1:11" s="140" customFormat="1" ht="12.75" customHeight="1" x14ac:dyDescent="0.25">
      <c r="A148" s="137"/>
      <c r="B148" s="119"/>
      <c r="C148" s="119"/>
      <c r="D148" s="165" t="s">
        <v>0</v>
      </c>
      <c r="E148" s="166"/>
      <c r="F148" s="167">
        <f>F150-(F9+F13+F17+F20+F24+F27+F30+F33+F36+F43+F49+F62)</f>
        <v>2006575793.4169254</v>
      </c>
      <c r="G148" s="167">
        <f>G150-(G9+G13+G17+G20+G24+G27+G30+G33+G36+G43+G49+G62)</f>
        <v>560420262.24222183</v>
      </c>
      <c r="H148" s="167">
        <f>H150-(H9+H13+H17+H20+H24+H27+H30+H33+H36+H43+H49+H62)</f>
        <v>21627480141.947273</v>
      </c>
      <c r="I148" s="142"/>
    </row>
    <row r="149" spans="1:11" s="140" customFormat="1" ht="12.75" customHeight="1" x14ac:dyDescent="0.25">
      <c r="A149" s="137"/>
      <c r="B149" s="119"/>
      <c r="C149" s="119"/>
      <c r="D149" s="159"/>
      <c r="E149" s="159"/>
      <c r="F149" s="160"/>
      <c r="G149" s="160"/>
      <c r="H149" s="160"/>
      <c r="I149" s="131"/>
    </row>
    <row r="150" spans="1:11" s="140" customFormat="1" x14ac:dyDescent="0.25">
      <c r="B150" s="161"/>
      <c r="C150" s="161"/>
      <c r="D150" s="170" t="s">
        <v>111</v>
      </c>
      <c r="E150" s="171"/>
      <c r="F150" s="172">
        <v>-5150625935.7236414</v>
      </c>
      <c r="G150" s="172">
        <v>1503746345.1826501</v>
      </c>
      <c r="H150" s="173">
        <v>26217676490.136475</v>
      </c>
      <c r="I150" s="142"/>
    </row>
    <row r="151" spans="1:11" x14ac:dyDescent="0.25">
      <c r="K151" s="140"/>
    </row>
  </sheetData>
  <conditionalFormatting sqref="F10:H10 F18:H18 F21:H21 F6:H6 F50:H50 F63:H63 F44:H44">
    <cfRule type="expression" dxfId="124" priority="318">
      <formula>#REF!="NonPrisEnCompte"</formula>
    </cfRule>
  </conditionalFormatting>
  <conditionalFormatting sqref="F10:H10 F18:H18 F21:H21 F6:H6 F50:H50 F63:H63 F44:H44">
    <cfRule type="expression" dxfId="123" priority="317">
      <formula>#REF!="NonPrisEnCompte"</formula>
    </cfRule>
  </conditionalFormatting>
  <conditionalFormatting sqref="F9:H9 F11:H12 F64:H123 F125:H133 F146:H146 F135:G145">
    <cfRule type="expression" dxfId="122" priority="268">
      <formula>#REF!="NonPrisEnCompte"</formula>
    </cfRule>
  </conditionalFormatting>
  <conditionalFormatting sqref="F9:H9">
    <cfRule type="expression" dxfId="121" priority="267">
      <formula>#REF!="NonPrisEnCompte"</formula>
    </cfRule>
  </conditionalFormatting>
  <conditionalFormatting sqref="F8:H8">
    <cfRule type="expression" dxfId="120" priority="266">
      <formula>#REF!="NonPrisEnCompte"</formula>
    </cfRule>
  </conditionalFormatting>
  <conditionalFormatting sqref="F8:H8">
    <cfRule type="expression" dxfId="119" priority="265">
      <formula>#REF!="NonPrisEnCompte"</formula>
    </cfRule>
  </conditionalFormatting>
  <conditionalFormatting sqref="F7:H7">
    <cfRule type="expression" dxfId="118" priority="264">
      <formula>#REF!="NonPrisEnCompte"</formula>
    </cfRule>
  </conditionalFormatting>
  <conditionalFormatting sqref="F7:H7">
    <cfRule type="expression" dxfId="117" priority="263">
      <formula>#REF!="NonPrisEnCompte"</formula>
    </cfRule>
  </conditionalFormatting>
  <conditionalFormatting sqref="F150:H150">
    <cfRule type="expression" dxfId="116" priority="206">
      <formula>#REF!="NonPrisEnCompte"</formula>
    </cfRule>
  </conditionalFormatting>
  <conditionalFormatting sqref="F150:H150">
    <cfRule type="expression" dxfId="115" priority="205">
      <formula>#REF!="NonPrisEnCompte"</formula>
    </cfRule>
  </conditionalFormatting>
  <conditionalFormatting sqref="F13:H13">
    <cfRule type="expression" dxfId="114" priority="200">
      <formula>#REF!="NonPrisEnCompte"</formula>
    </cfRule>
  </conditionalFormatting>
  <conditionalFormatting sqref="F13:H13">
    <cfRule type="expression" dxfId="113" priority="199">
      <formula>#REF!="NonPrisEnCompte"</formula>
    </cfRule>
  </conditionalFormatting>
  <conditionalFormatting sqref="F17:H17">
    <cfRule type="expression" dxfId="112" priority="198">
      <formula>#REF!="NonPrisEnCompte"</formula>
    </cfRule>
  </conditionalFormatting>
  <conditionalFormatting sqref="F17:H17">
    <cfRule type="expression" dxfId="111" priority="197">
      <formula>#REF!="NonPrisEnCompte"</formula>
    </cfRule>
  </conditionalFormatting>
  <conditionalFormatting sqref="F20:H20">
    <cfRule type="expression" dxfId="110" priority="196">
      <formula>#REF!="NonPrisEnCompte"</formula>
    </cfRule>
  </conditionalFormatting>
  <conditionalFormatting sqref="F20:H20">
    <cfRule type="expression" dxfId="109" priority="195">
      <formula>#REF!="NonPrisEnCompte"</formula>
    </cfRule>
  </conditionalFormatting>
  <conditionalFormatting sqref="F25:H25">
    <cfRule type="expression" dxfId="108" priority="173">
      <formula>#REF!="NonPrisEnCompte"</formula>
    </cfRule>
  </conditionalFormatting>
  <conditionalFormatting sqref="F25:H25">
    <cfRule type="expression" dxfId="107" priority="172">
      <formula>#REF!="NonPrisEnCompte"</formula>
    </cfRule>
  </conditionalFormatting>
  <conditionalFormatting sqref="F31:H31">
    <cfRule type="expression" dxfId="106" priority="170">
      <formula>#REF!="NonPrisEnCompte"</formula>
    </cfRule>
  </conditionalFormatting>
  <conditionalFormatting sqref="F31:H31">
    <cfRule type="expression" dxfId="105" priority="169">
      <formula>#REF!="NonPrisEnCompte"</formula>
    </cfRule>
  </conditionalFormatting>
  <conditionalFormatting sqref="F34:H34">
    <cfRule type="expression" dxfId="104" priority="167">
      <formula>#REF!="NonPrisEnCompte"</formula>
    </cfRule>
  </conditionalFormatting>
  <conditionalFormatting sqref="F34:H34">
    <cfRule type="expression" dxfId="103" priority="166">
      <formula>#REF!="NonPrisEnCompte"</formula>
    </cfRule>
  </conditionalFormatting>
  <conditionalFormatting sqref="F37:H37">
    <cfRule type="expression" dxfId="102" priority="164">
      <formula>#REF!="NonPrisEnCompte"</formula>
    </cfRule>
  </conditionalFormatting>
  <conditionalFormatting sqref="F37:H37">
    <cfRule type="expression" dxfId="101" priority="163">
      <formula>#REF!="NonPrisEnCompte"</formula>
    </cfRule>
  </conditionalFormatting>
  <conditionalFormatting sqref="F5:H8">
    <cfRule type="expression" dxfId="100" priority="155">
      <formula>#REF!="NonPrisEnCompte"</formula>
    </cfRule>
  </conditionalFormatting>
  <conditionalFormatting sqref="F5:H8">
    <cfRule type="expression" dxfId="99" priority="154">
      <formula>#REF!="NonPrisEnCompte"</formula>
    </cfRule>
  </conditionalFormatting>
  <conditionalFormatting sqref="F14:H14">
    <cfRule type="expression" dxfId="98" priority="149">
      <formula>#REF!="NonPrisEnCompte"</formula>
    </cfRule>
  </conditionalFormatting>
  <conditionalFormatting sqref="F14:H14">
    <cfRule type="expression" dxfId="97" priority="148">
      <formula>#REF!="NonPrisEnCompte"</formula>
    </cfRule>
  </conditionalFormatting>
  <conditionalFormatting sqref="F28:H28">
    <cfRule type="expression" dxfId="96" priority="146">
      <formula>#REF!="NonPrisEnCompte"</formula>
    </cfRule>
  </conditionalFormatting>
  <conditionalFormatting sqref="F28:H28">
    <cfRule type="expression" dxfId="95" priority="145">
      <formula>#REF!="NonPrisEnCompte"</formula>
    </cfRule>
  </conditionalFormatting>
  <conditionalFormatting sqref="A146:A147">
    <cfRule type="duplicateValues" dxfId="94" priority="144"/>
  </conditionalFormatting>
  <conditionalFormatting sqref="F38:H42">
    <cfRule type="expression" dxfId="93" priority="55">
      <formula>#REF!="NonPrisEnCompte"</formula>
    </cfRule>
  </conditionalFormatting>
  <conditionalFormatting sqref="A143">
    <cfRule type="duplicateValues" dxfId="92" priority="119"/>
  </conditionalFormatting>
  <conditionalFormatting sqref="F51:H61">
    <cfRule type="expression" dxfId="91" priority="50">
      <formula>#REF!="NonPrisEnCompte"</formula>
    </cfRule>
  </conditionalFormatting>
  <conditionalFormatting sqref="F51:H61">
    <cfRule type="expression" dxfId="90" priority="49">
      <formula>#REF!="NonPrisEnCompte"</formula>
    </cfRule>
  </conditionalFormatting>
  <conditionalFormatting sqref="F51:H61">
    <cfRule type="expression" dxfId="89" priority="48">
      <formula>#REF!="NonPrisEnCompte"</formula>
    </cfRule>
  </conditionalFormatting>
  <conditionalFormatting sqref="F51:H61">
    <cfRule type="expression" dxfId="88" priority="47">
      <formula>#REF!="NonPrisEnCompte"</formula>
    </cfRule>
  </conditionalFormatting>
  <conditionalFormatting sqref="F15:H16">
    <cfRule type="expression" dxfId="87" priority="94">
      <formula>#REF!="NonPrisEnCompte"</formula>
    </cfRule>
  </conditionalFormatting>
  <conditionalFormatting sqref="F15:H16">
    <cfRule type="expression" dxfId="86" priority="93">
      <formula>#REF!="NonPrisEnCompte"</formula>
    </cfRule>
  </conditionalFormatting>
  <conditionalFormatting sqref="F15:H16">
    <cfRule type="expression" dxfId="85" priority="92">
      <formula>#REF!="NonPrisEnCompte"</formula>
    </cfRule>
  </conditionalFormatting>
  <conditionalFormatting sqref="F15:H16">
    <cfRule type="expression" dxfId="84" priority="91">
      <formula>#REF!="NonPrisEnCompte"</formula>
    </cfRule>
  </conditionalFormatting>
  <conditionalFormatting sqref="F19:H19">
    <cfRule type="expression" dxfId="83" priority="90">
      <formula>#REF!="NonPrisEnCompte"</formula>
    </cfRule>
  </conditionalFormatting>
  <conditionalFormatting sqref="F19:H19">
    <cfRule type="expression" dxfId="82" priority="89">
      <formula>#REF!="NonPrisEnCompte"</formula>
    </cfRule>
  </conditionalFormatting>
  <conditionalFormatting sqref="F19:H19">
    <cfRule type="expression" dxfId="81" priority="88">
      <formula>#REF!="NonPrisEnCompte"</formula>
    </cfRule>
  </conditionalFormatting>
  <conditionalFormatting sqref="F19:H19">
    <cfRule type="expression" dxfId="80" priority="87">
      <formula>#REF!="NonPrisEnCompte"</formula>
    </cfRule>
  </conditionalFormatting>
  <conditionalFormatting sqref="F22:H23">
    <cfRule type="expression" dxfId="79" priority="86">
      <formula>#REF!="NonPrisEnCompte"</formula>
    </cfRule>
  </conditionalFormatting>
  <conditionalFormatting sqref="F22:H23">
    <cfRule type="expression" dxfId="78" priority="85">
      <formula>#REF!="NonPrisEnCompte"</formula>
    </cfRule>
  </conditionalFormatting>
  <conditionalFormatting sqref="F22:H23">
    <cfRule type="expression" dxfId="77" priority="84">
      <formula>#REF!="NonPrisEnCompte"</formula>
    </cfRule>
  </conditionalFormatting>
  <conditionalFormatting sqref="F22:H23">
    <cfRule type="expression" dxfId="76" priority="83">
      <formula>#REF!="NonPrisEnCompte"</formula>
    </cfRule>
  </conditionalFormatting>
  <conditionalFormatting sqref="F26:H26">
    <cfRule type="expression" dxfId="75" priority="82">
      <formula>#REF!="NonPrisEnCompte"</formula>
    </cfRule>
  </conditionalFormatting>
  <conditionalFormatting sqref="F26:H26">
    <cfRule type="expression" dxfId="74" priority="81">
      <formula>#REF!="NonPrisEnCompte"</formula>
    </cfRule>
  </conditionalFormatting>
  <conditionalFormatting sqref="F26:H26">
    <cfRule type="expression" dxfId="73" priority="80">
      <formula>#REF!="NonPrisEnCompte"</formula>
    </cfRule>
  </conditionalFormatting>
  <conditionalFormatting sqref="F26:H26">
    <cfRule type="expression" dxfId="72" priority="79">
      <formula>#REF!="NonPrisEnCompte"</formula>
    </cfRule>
  </conditionalFormatting>
  <conditionalFormatting sqref="F38:H42">
    <cfRule type="expression" dxfId="71" priority="58">
      <formula>#REF!="NonPrisEnCompte"</formula>
    </cfRule>
  </conditionalFormatting>
  <conditionalFormatting sqref="F38:H42">
    <cfRule type="expression" dxfId="70" priority="57">
      <formula>#REF!="NonPrisEnCompte"</formula>
    </cfRule>
  </conditionalFormatting>
  <conditionalFormatting sqref="F38:H42">
    <cfRule type="expression" dxfId="69" priority="56">
      <formula>#REF!="NonPrisEnCompte"</formula>
    </cfRule>
  </conditionalFormatting>
  <conditionalFormatting sqref="A148:A149">
    <cfRule type="duplicateValues" dxfId="68" priority="996"/>
  </conditionalFormatting>
  <conditionalFormatting sqref="A13">
    <cfRule type="duplicateValues" dxfId="67" priority="997"/>
  </conditionalFormatting>
  <conditionalFormatting sqref="A17">
    <cfRule type="duplicateValues" dxfId="66" priority="998"/>
  </conditionalFormatting>
  <conditionalFormatting sqref="A20">
    <cfRule type="duplicateValues" dxfId="65" priority="1000"/>
  </conditionalFormatting>
  <conditionalFormatting sqref="A24">
    <cfRule type="duplicateValues" dxfId="64" priority="1002"/>
  </conditionalFormatting>
  <conditionalFormatting sqref="A27">
    <cfRule type="duplicateValues" dxfId="63" priority="1004"/>
  </conditionalFormatting>
  <conditionalFormatting sqref="A30">
    <cfRule type="duplicateValues" dxfId="62" priority="1006"/>
  </conditionalFormatting>
  <conditionalFormatting sqref="A33">
    <cfRule type="duplicateValues" dxfId="61" priority="1008"/>
  </conditionalFormatting>
  <conditionalFormatting sqref="A36">
    <cfRule type="duplicateValues" dxfId="60" priority="1010"/>
  </conditionalFormatting>
  <conditionalFormatting sqref="A43">
    <cfRule type="duplicateValues" dxfId="59" priority="1015"/>
  </conditionalFormatting>
  <conditionalFormatting sqref="A62">
    <cfRule type="duplicateValues" dxfId="58" priority="1017"/>
  </conditionalFormatting>
  <conditionalFormatting sqref="A49:A50">
    <cfRule type="duplicateValues" dxfId="57" priority="1018"/>
  </conditionalFormatting>
  <conditionalFormatting sqref="A25">
    <cfRule type="duplicateValues" dxfId="56" priority="1019"/>
  </conditionalFormatting>
  <conditionalFormatting sqref="A31">
    <cfRule type="duplicateValues" dxfId="55" priority="1020"/>
  </conditionalFormatting>
  <conditionalFormatting sqref="A34">
    <cfRule type="duplicateValues" dxfId="54" priority="1021"/>
  </conditionalFormatting>
  <conditionalFormatting sqref="A37">
    <cfRule type="duplicateValues" dxfId="53" priority="1022"/>
  </conditionalFormatting>
  <conditionalFormatting sqref="A39">
    <cfRule type="duplicateValues" dxfId="52" priority="1023"/>
  </conditionalFormatting>
  <conditionalFormatting sqref="A5">
    <cfRule type="duplicateValues" dxfId="51" priority="1025"/>
  </conditionalFormatting>
  <conditionalFormatting sqref="A14">
    <cfRule type="duplicateValues" dxfId="50" priority="1026"/>
  </conditionalFormatting>
  <conditionalFormatting sqref="A28">
    <cfRule type="duplicateValues" dxfId="49" priority="1027"/>
  </conditionalFormatting>
  <conditionalFormatting sqref="A144:A145 A6:A12 A46:A48 A15:A16 A18:A19 A21:A23 A26 A29 A32 A35 A38 A44 A63:A142 A51:A61 A40:A42">
    <cfRule type="duplicateValues" dxfId="48" priority="1028"/>
  </conditionalFormatting>
  <conditionalFormatting sqref="A45">
    <cfRule type="duplicateValues" dxfId="47" priority="1033"/>
  </conditionalFormatting>
  <conditionalFormatting sqref="A40:A41 A12">
    <cfRule type="duplicateValues" dxfId="46" priority="1036"/>
  </conditionalFormatting>
  <conditionalFormatting sqref="F124:H124">
    <cfRule type="expression" dxfId="45" priority="42">
      <formula>#REF!="NonPrisEnCompte"</formula>
    </cfRule>
  </conditionalFormatting>
  <conditionalFormatting sqref="F134:H134">
    <cfRule type="expression" dxfId="44" priority="41">
      <formula>#REF!="NonPrisEnCompte"</formula>
    </cfRule>
  </conditionalFormatting>
  <conditionalFormatting sqref="H135:H145">
    <cfRule type="expression" dxfId="43" priority="40">
      <formula>#REF!="NonPrisEnCompte"</formula>
    </cfRule>
  </conditionalFormatting>
  <conditionalFormatting sqref="F24:H24">
    <cfRule type="expression" dxfId="42" priority="39">
      <formula>#REF!="NonPrisEnCompte"</formula>
    </cfRule>
  </conditionalFormatting>
  <conditionalFormatting sqref="F24:H24">
    <cfRule type="expression" dxfId="41" priority="38">
      <formula>#REF!="NonPrisEnCompte"</formula>
    </cfRule>
  </conditionalFormatting>
  <conditionalFormatting sqref="F27:H27">
    <cfRule type="expression" dxfId="40" priority="37">
      <formula>#REF!="NonPrisEnCompte"</formula>
    </cfRule>
  </conditionalFormatting>
  <conditionalFormatting sqref="F27:H27">
    <cfRule type="expression" dxfId="39" priority="36">
      <formula>#REF!="NonPrisEnCompte"</formula>
    </cfRule>
  </conditionalFormatting>
  <conditionalFormatting sqref="F29:H29">
    <cfRule type="expression" dxfId="38" priority="35">
      <formula>#REF!="NonPrisEnCompte"</formula>
    </cfRule>
  </conditionalFormatting>
  <conditionalFormatting sqref="F29:H29">
    <cfRule type="expression" dxfId="37" priority="34">
      <formula>#REF!="NonPrisEnCompte"</formula>
    </cfRule>
  </conditionalFormatting>
  <conditionalFormatting sqref="F29:H29">
    <cfRule type="expression" dxfId="36" priority="33">
      <formula>#REF!="NonPrisEnCompte"</formula>
    </cfRule>
  </conditionalFormatting>
  <conditionalFormatting sqref="F29:H29">
    <cfRule type="expression" dxfId="35" priority="32">
      <formula>#REF!="NonPrisEnCompte"</formula>
    </cfRule>
  </conditionalFormatting>
  <conditionalFormatting sqref="F30:H30">
    <cfRule type="expression" dxfId="34" priority="31">
      <formula>#REF!="NonPrisEnCompte"</formula>
    </cfRule>
  </conditionalFormatting>
  <conditionalFormatting sqref="F30:H30">
    <cfRule type="expression" dxfId="33" priority="30">
      <formula>#REF!="NonPrisEnCompte"</formula>
    </cfRule>
  </conditionalFormatting>
  <conditionalFormatting sqref="F32:H32">
    <cfRule type="expression" dxfId="32" priority="29">
      <formula>#REF!="NonPrisEnCompte"</formula>
    </cfRule>
  </conditionalFormatting>
  <conditionalFormatting sqref="F32:H32">
    <cfRule type="expression" dxfId="31" priority="28">
      <formula>#REF!="NonPrisEnCompte"</formula>
    </cfRule>
  </conditionalFormatting>
  <conditionalFormatting sqref="F32:H32">
    <cfRule type="expression" dxfId="30" priority="27">
      <formula>#REF!="NonPrisEnCompte"</formula>
    </cfRule>
  </conditionalFormatting>
  <conditionalFormatting sqref="F32:H32">
    <cfRule type="expression" dxfId="29" priority="26">
      <formula>#REF!="NonPrisEnCompte"</formula>
    </cfRule>
  </conditionalFormatting>
  <conditionalFormatting sqref="F33:H33">
    <cfRule type="expression" dxfId="28" priority="25">
      <formula>#REF!="NonPrisEnCompte"</formula>
    </cfRule>
  </conditionalFormatting>
  <conditionalFormatting sqref="F33:H33">
    <cfRule type="expression" dxfId="27" priority="24">
      <formula>#REF!="NonPrisEnCompte"</formula>
    </cfRule>
  </conditionalFormatting>
  <conditionalFormatting sqref="F35:H35">
    <cfRule type="expression" dxfId="26" priority="23">
      <formula>#REF!="NonPrisEnCompte"</formula>
    </cfRule>
  </conditionalFormatting>
  <conditionalFormatting sqref="F35:H35">
    <cfRule type="expression" dxfId="25" priority="22">
      <formula>#REF!="NonPrisEnCompte"</formula>
    </cfRule>
  </conditionalFormatting>
  <conditionalFormatting sqref="F35:H35">
    <cfRule type="expression" dxfId="24" priority="21">
      <formula>#REF!="NonPrisEnCompte"</formula>
    </cfRule>
  </conditionalFormatting>
  <conditionalFormatting sqref="F35:H35">
    <cfRule type="expression" dxfId="23" priority="20">
      <formula>#REF!="NonPrisEnCompte"</formula>
    </cfRule>
  </conditionalFormatting>
  <conditionalFormatting sqref="F36:H36">
    <cfRule type="expression" dxfId="22" priority="19">
      <formula>#REF!="NonPrisEnCompte"</formula>
    </cfRule>
  </conditionalFormatting>
  <conditionalFormatting sqref="F36:H36">
    <cfRule type="expression" dxfId="21" priority="18">
      <formula>#REF!="NonPrisEnCompte"</formula>
    </cfRule>
  </conditionalFormatting>
  <conditionalFormatting sqref="F43:H43">
    <cfRule type="expression" dxfId="20" priority="17">
      <formula>#REF!="NonPrisEnCompte"</formula>
    </cfRule>
  </conditionalFormatting>
  <conditionalFormatting sqref="F43:H43">
    <cfRule type="expression" dxfId="19" priority="16">
      <formula>#REF!="NonPrisEnCompte"</formula>
    </cfRule>
  </conditionalFormatting>
  <conditionalFormatting sqref="F46:H48">
    <cfRule type="expression" dxfId="18" priority="12">
      <formula>#REF!="NonPrisEnCompte"</formula>
    </cfRule>
  </conditionalFormatting>
  <conditionalFormatting sqref="F46:H48">
    <cfRule type="expression" dxfId="17" priority="15">
      <formula>#REF!="NonPrisEnCompte"</formula>
    </cfRule>
  </conditionalFormatting>
  <conditionalFormatting sqref="F46:H48">
    <cfRule type="expression" dxfId="16" priority="14">
      <formula>#REF!="NonPrisEnCompte"</formula>
    </cfRule>
  </conditionalFormatting>
  <conditionalFormatting sqref="F46:H48">
    <cfRule type="expression" dxfId="15" priority="13">
      <formula>#REF!="NonPrisEnCompte"</formula>
    </cfRule>
  </conditionalFormatting>
  <conditionalFormatting sqref="F49:H49">
    <cfRule type="expression" dxfId="14" priority="11">
      <formula>#REF!="NonPrisEnCompte"</formula>
    </cfRule>
  </conditionalFormatting>
  <conditionalFormatting sqref="F49:H49">
    <cfRule type="expression" dxfId="13" priority="10">
      <formula>#REF!="NonPrisEnCompte"</formula>
    </cfRule>
  </conditionalFormatting>
  <conditionalFormatting sqref="F62:H62">
    <cfRule type="expression" dxfId="12" priority="9">
      <formula>#REF!="NonPrisEnCompte"</formula>
    </cfRule>
  </conditionalFormatting>
  <conditionalFormatting sqref="F62:H62">
    <cfRule type="expression" dxfId="11" priority="8">
      <formula>#REF!="NonPrisEnCompte"</formula>
    </cfRule>
  </conditionalFormatting>
  <conditionalFormatting sqref="F45:H45">
    <cfRule type="expression" dxfId="10" priority="4">
      <formula>#REF!="NonPrisEnCompte"</formula>
    </cfRule>
  </conditionalFormatting>
  <conditionalFormatting sqref="F45:H45">
    <cfRule type="expression" dxfId="9" priority="7">
      <formula>#REF!="NonPrisEnCompte"</formula>
    </cfRule>
  </conditionalFormatting>
  <conditionalFormatting sqref="F45:H45">
    <cfRule type="expression" dxfId="8" priority="6">
      <formula>#REF!="NonPrisEnCompte"</formula>
    </cfRule>
  </conditionalFormatting>
  <conditionalFormatting sqref="F45:H45">
    <cfRule type="expression" dxfId="7" priority="5">
      <formula>#REF!="NonPrisEnCompte"</formula>
    </cfRule>
  </conditionalFormatting>
  <conditionalFormatting sqref="F147:H147">
    <cfRule type="expression" dxfId="6" priority="3">
      <formula>#REF!="NonPrisEnCompte"</formula>
    </cfRule>
  </conditionalFormatting>
  <conditionalFormatting sqref="F148:H148">
    <cfRule type="expression" dxfId="5" priority="2">
      <formula>#REF!="NonPrisEnCompte"</formula>
    </cfRule>
  </conditionalFormatting>
  <conditionalFormatting sqref="F148:H148">
    <cfRule type="expression" dxfId="4" priority="1">
      <formula>#REF!="NonPrisEnCompte"</formula>
    </cfRule>
  </conditionalFormatting>
  <pageMargins left="0" right="0" top="0" bottom="0" header="0.51180555555555496" footer="0.51180555555555496"/>
  <pageSetup paperSize="8" firstPageNumber="0"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09541-BBA2-43CB-BD7B-1FE18E9ABBD3}">
  <sheetPr>
    <pageSetUpPr fitToPage="1"/>
  </sheetPr>
  <dimension ref="A1:L9"/>
  <sheetViews>
    <sheetView showGridLines="0" zoomScale="79" workbookViewId="0">
      <selection activeCell="L6" sqref="L6"/>
    </sheetView>
  </sheetViews>
  <sheetFormatPr baseColWidth="10" defaultColWidth="9.140625" defaultRowHeight="15" x14ac:dyDescent="0.25"/>
  <cols>
    <col min="1" max="1" width="1.7109375" style="122" customWidth="1"/>
    <col min="2" max="2" width="8.7109375" style="122" customWidth="1"/>
    <col min="3" max="3" width="16" style="122" bestFit="1" customWidth="1"/>
    <col min="4" max="4" width="64" style="122" customWidth="1"/>
    <col min="5" max="5" width="90.85546875" style="122" customWidth="1"/>
    <col min="6" max="7" width="20.42578125" style="122" customWidth="1"/>
    <col min="8" max="8" width="8.85546875" style="122" customWidth="1"/>
    <col min="9" max="9" width="8.85546875" style="122" bestFit="1" customWidth="1"/>
    <col min="10" max="10" width="9.140625" style="122"/>
    <col min="11" max="12" width="9.5703125" style="122" bestFit="1" customWidth="1"/>
    <col min="13" max="16384" width="9.140625" style="122"/>
  </cols>
  <sheetData>
    <row r="1" spans="1:12" ht="23.25" x14ac:dyDescent="0.35">
      <c r="A1" s="132"/>
      <c r="B1" s="148" t="s">
        <v>414</v>
      </c>
      <c r="C1" s="131"/>
      <c r="E1" s="130"/>
      <c r="F1" s="133"/>
      <c r="G1" s="133"/>
      <c r="H1" s="133"/>
      <c r="I1" s="133"/>
    </row>
    <row r="2" spans="1:12" ht="12.75" customHeight="1" x14ac:dyDescent="0.25">
      <c r="B2" s="131"/>
      <c r="C2" s="131"/>
      <c r="D2" s="134"/>
      <c r="E2" s="130"/>
      <c r="F2" s="133"/>
      <c r="G2" s="133"/>
      <c r="H2" s="133"/>
      <c r="I2" s="133"/>
      <c r="K2" s="146"/>
      <c r="L2" s="146"/>
    </row>
    <row r="3" spans="1:12" x14ac:dyDescent="0.25">
      <c r="B3" s="135" t="s">
        <v>178</v>
      </c>
      <c r="C3" s="135" t="s">
        <v>327</v>
      </c>
      <c r="D3" s="135" t="s">
        <v>326</v>
      </c>
      <c r="E3" s="135" t="s">
        <v>325</v>
      </c>
      <c r="F3" s="135" t="s">
        <v>324</v>
      </c>
      <c r="G3" s="135" t="s">
        <v>415</v>
      </c>
      <c r="H3" s="135">
        <v>2023</v>
      </c>
      <c r="I3" s="135">
        <v>2024</v>
      </c>
      <c r="J3" s="135">
        <v>2025</v>
      </c>
    </row>
    <row r="4" spans="1:12" s="140" customFormat="1" ht="12.75" customHeight="1" x14ac:dyDescent="0.25">
      <c r="A4" s="137"/>
      <c r="B4" s="155" t="s">
        <v>13</v>
      </c>
      <c r="C4" s="155" t="s">
        <v>173</v>
      </c>
      <c r="D4" s="155" t="s">
        <v>321</v>
      </c>
      <c r="E4" s="155" t="s">
        <v>320</v>
      </c>
      <c r="F4" s="155" t="s">
        <v>397</v>
      </c>
      <c r="G4" s="154">
        <v>2024</v>
      </c>
      <c r="H4" s="141"/>
      <c r="I4" s="153">
        <v>-0.22800000000000001</v>
      </c>
      <c r="J4" s="152"/>
      <c r="K4" s="142"/>
    </row>
    <row r="5" spans="1:12" s="140" customFormat="1" ht="12.75" customHeight="1" x14ac:dyDescent="0.25">
      <c r="A5" s="137"/>
      <c r="B5" s="156" t="s">
        <v>30</v>
      </c>
      <c r="C5" s="156">
        <v>1501</v>
      </c>
      <c r="D5" s="156" t="s">
        <v>358</v>
      </c>
      <c r="E5" s="156" t="s">
        <v>400</v>
      </c>
      <c r="F5" s="156" t="s">
        <v>397</v>
      </c>
      <c r="G5" s="154">
        <v>2024</v>
      </c>
      <c r="H5" s="141"/>
      <c r="I5" s="153">
        <v>-0.28682497999999995</v>
      </c>
      <c r="J5" s="153">
        <v>0.21502883999999989</v>
      </c>
      <c r="K5" s="142"/>
    </row>
    <row r="6" spans="1:12" s="140" customFormat="1" ht="12.75" customHeight="1" x14ac:dyDescent="0.25">
      <c r="A6" s="137"/>
      <c r="B6" s="155" t="s">
        <v>108</v>
      </c>
      <c r="C6" s="155" t="s">
        <v>275</v>
      </c>
      <c r="D6" s="155" t="s">
        <v>385</v>
      </c>
      <c r="E6" s="155" t="s">
        <v>408</v>
      </c>
      <c r="F6" s="155" t="s">
        <v>397</v>
      </c>
      <c r="G6" s="154">
        <v>2025</v>
      </c>
      <c r="H6" s="141"/>
      <c r="I6" s="153"/>
      <c r="J6" s="152">
        <v>0.15</v>
      </c>
      <c r="K6" s="142"/>
    </row>
    <row r="7" spans="1:12" s="140" customFormat="1" ht="12.75" customHeight="1" x14ac:dyDescent="0.25">
      <c r="A7" s="137"/>
      <c r="B7" s="156" t="s">
        <v>2</v>
      </c>
      <c r="C7" s="156" t="s">
        <v>260</v>
      </c>
      <c r="D7" s="156" t="s">
        <v>361</v>
      </c>
      <c r="E7" s="156" t="s">
        <v>402</v>
      </c>
      <c r="F7" s="156" t="s">
        <v>268</v>
      </c>
      <c r="G7" s="154">
        <v>2024</v>
      </c>
      <c r="H7" s="141"/>
      <c r="I7" s="153">
        <v>-0.09</v>
      </c>
      <c r="J7" s="152"/>
      <c r="K7" s="142"/>
    </row>
    <row r="9" spans="1:12" x14ac:dyDescent="0.25">
      <c r="B9" s="122" t="s">
        <v>416</v>
      </c>
    </row>
  </sheetData>
  <conditionalFormatting sqref="J4 J6:J7">
    <cfRule type="expression" dxfId="3" priority="5">
      <formula>$E4="NonPrisEnCompte"</formula>
    </cfRule>
  </conditionalFormatting>
  <conditionalFormatting sqref="J4 J6:J7">
    <cfRule type="expression" dxfId="2" priority="4">
      <formula>$D4="NonPrisEnCompte"</formula>
    </cfRule>
  </conditionalFormatting>
  <conditionalFormatting sqref="A4:A5">
    <cfRule type="duplicateValues" dxfId="1" priority="6"/>
  </conditionalFormatting>
  <conditionalFormatting sqref="A6:A7">
    <cfRule type="duplicateValues" dxfId="0" priority="999"/>
  </conditionalFormatting>
  <hyperlinks>
    <hyperlink ref="B1" r:id="rId1" xr:uid="{73555C15-AA8C-47CE-907A-8BDDE688579C}"/>
  </hyperlinks>
  <pageMargins left="0.7" right="0.7" top="0.75" bottom="0.75" header="0.3" footer="0.3"/>
  <pageSetup paperSize="9" scale="32" orientation="portrait"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7F3F6A9C3FE7C449BAA15F2587D945EE" ma:contentTypeVersion="" ma:contentTypeDescription="Crée un document." ma:contentTypeScope="" ma:versionID="b0d0796b98ae9e0828c84ee712a7fbbd">
  <xsd:schema xmlns:xsd="http://www.w3.org/2001/XMLSchema" xmlns:xs="http://www.w3.org/2001/XMLSchema" xmlns:p="http://schemas.microsoft.com/office/2006/metadata/properties" xmlns:ns2="5c2b384e-b1d9-4426-96bd-23b6da9a9776" targetNamespace="http://schemas.microsoft.com/office/2006/metadata/properties" ma:root="true" ma:fieldsID="8f79f35da8d60fd19b212d8b79b5bfbd" ns2:_="">
    <xsd:import namespace="5c2b384e-b1d9-4426-96bd-23b6da9a9776"/>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2b384e-b1d9-4426-96bd-23b6da9a9776"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D3AE81E-D1F7-47D8-954D-EF7F10A91CB2}">
  <ds:schemaRefs>
    <ds:schemaRef ds:uri="http://schemas.microsoft.com/sharepoint/v3/contenttype/forms"/>
  </ds:schemaRefs>
</ds:datastoreItem>
</file>

<file path=customXml/itemProps2.xml><?xml version="1.0" encoding="utf-8"?>
<ds:datastoreItem xmlns:ds="http://schemas.openxmlformats.org/officeDocument/2006/customXml" ds:itemID="{44A6BF82-9559-42DB-82DE-8F6DBF53F9C1}">
  <ds:schemaRefs>
    <ds:schemaRef ds:uri="http://www.w3.org/XML/1998/namespace"/>
    <ds:schemaRef ds:uri="http://schemas.microsoft.com/office/2006/documentManagement/types"/>
    <ds:schemaRef ds:uri="http://purl.org/dc/elements/1.1/"/>
    <ds:schemaRef ds:uri="http://schemas.openxmlformats.org/package/2006/metadata/core-properties"/>
    <ds:schemaRef ds:uri="http://purl.org/dc/dcmitype/"/>
    <ds:schemaRef ds:uri="http://schemas.microsoft.com/office/2006/metadata/properties"/>
    <ds:schemaRef ds:uri="5c2b384e-b1d9-4426-96bd-23b6da9a9776"/>
    <ds:schemaRef ds:uri="http://schemas.microsoft.com/office/infopath/2007/PartnerControls"/>
    <ds:schemaRef ds:uri="http://purl.org/dc/terms/"/>
  </ds:schemaRefs>
</ds:datastoreItem>
</file>

<file path=customXml/itemProps3.xml><?xml version="1.0" encoding="utf-8"?>
<ds:datastoreItem xmlns:ds="http://schemas.openxmlformats.org/officeDocument/2006/customXml" ds:itemID="{A3143FDE-E663-4A3C-9A4E-ABEB6249CB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2b384e-b1d9-4426-96bd-23b6da9a97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10</vt:i4>
      </vt:variant>
      <vt:variant>
        <vt:lpstr>Plages nommées</vt:lpstr>
      </vt:variant>
      <vt:variant>
        <vt:i4>2</vt:i4>
      </vt:variant>
    </vt:vector>
  </HeadingPairs>
  <TitlesOfParts>
    <vt:vector size="12" baseType="lpstr">
      <vt:lpstr>Synthèse &gt;&gt;&gt;</vt:lpstr>
      <vt:lpstr>Recettes</vt:lpstr>
      <vt:lpstr>MN au présent PLF</vt:lpstr>
      <vt:lpstr>MP et MT</vt:lpstr>
      <vt:lpstr>Détails &gt;&gt;&gt;</vt:lpstr>
      <vt:lpstr>RNF</vt:lpstr>
      <vt:lpstr>RFN</vt:lpstr>
      <vt:lpstr>R&amp;D</vt:lpstr>
      <vt:lpstr>MN, MT et MP</vt:lpstr>
      <vt:lpstr>Art. 25 LO 2021-1836</vt:lpstr>
      <vt:lpstr>'MN, MT et MP'!Impression_des_titres</vt:lpstr>
      <vt:lpstr>'MN, MT et MP'!Zone_d_impression</vt:lpstr>
    </vt:vector>
  </TitlesOfParts>
  <Company>Secrétariat Général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Direction du Budget</dc:creator>
  <cp:lastModifiedBy>SAVENAY Pierre</cp:lastModifiedBy>
  <cp:lastPrinted>2024-10-11T12:37:20Z</cp:lastPrinted>
  <dcterms:created xsi:type="dcterms:W3CDTF">2022-07-05T17:36:36Z</dcterms:created>
  <dcterms:modified xsi:type="dcterms:W3CDTF">2024-10-15T16:45:24Z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0x0101007F3F6A9C3FE7C449BAA15F2587D945EE</vt:lpwstr>
  </property>
</Properties>
</file>